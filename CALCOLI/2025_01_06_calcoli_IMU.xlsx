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OLI_IMU" sheetId="1" state="visible" r:id="rId3"/>
    <sheet name="Foglio2" sheetId="2" state="visible" r:id="rId4"/>
    <sheet name="Foglio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<sst xmlns="http://schemas.openxmlformats.org/spreadsheetml/2006/main" count="2" uniqueCount="2">
  <si>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doppio valore di mercato</t>
  </si>
  <si>
    <t xml:space="preserve">4/3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</si>
</sst>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d\-mmm"/>
    <numFmt numFmtId="167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4296875" defaultRowHeight="15" zeroHeight="false" outlineLevelRow="0" outlineLevelCol="0"/>
  <cols>
    <col collapsed="false" customWidth="true" hidden="false" outlineLevel="0" max="8" min="7" style="1" width="10.57"/>
  </cols>
  <sheetData>
    <row r="1" customFormat="false" ht="15" hidden="false" customHeight="false" outlineLevel="0" collapsed="false">
      <c r="A1" s="1" t="n">
        <v>6.5</v>
      </c>
      <c r="D1" s="1" t="n">
        <v>72</v>
      </c>
      <c r="G1" s="2" t="n">
        <v>36288</v>
      </c>
    </row>
    <row r="2" customFormat="false" ht="15" hidden="false" customHeight="false" outlineLevel="0" collapsed="false">
      <c r="A2" s="1" t="n">
        <v>8.9</v>
      </c>
      <c r="D2" s="1" t="n">
        <v>24</v>
      </c>
      <c r="G2" s="3" t="n">
        <v>1680</v>
      </c>
    </row>
    <row r="3" customFormat="false" ht="15" hidden="false" customHeight="false" outlineLevel="0" collapsed="false">
      <c r="A3" s="1" t="n">
        <f aca="false">A2*A1</f>
        <v>57.85</v>
      </c>
      <c r="G3" s="2" t="n">
        <v>5727</v>
      </c>
    </row>
    <row r="4" customFormat="false" ht="15" hidden="false" customHeight="false" outlineLevel="0" collapsed="false">
      <c r="G4" s="2" t="n">
        <v>5900</v>
      </c>
    </row>
    <row r="5" customFormat="false" ht="15" hidden="false" customHeight="false" outlineLevel="0" collapsed="false">
      <c r="G5" s="2" t="n">
        <v>3720</v>
      </c>
    </row>
    <row r="6" customFormat="false" ht="15" hidden="false" customHeight="false" outlineLevel="0" collapsed="false">
      <c r="G6" s="4" t="n">
        <f aca="false">SUM(G1:G5)</f>
        <v>53315</v>
      </c>
      <c r="H6" s="3" t="n">
        <f aca="false">G6-G8</f>
        <v>39986.25</v>
      </c>
    </row>
    <row r="7" customFormat="false" ht="15" hidden="false" customHeight="false" outlineLevel="0" collapsed="false">
      <c r="I7" s="1" t="s">
        <v>0</v>
      </c>
    </row>
    <row r="8" customFormat="false" ht="15" hidden="false" customHeight="false" outlineLevel="0" collapsed="false">
      <c r="A8" s="1" t="n">
        <v>186</v>
      </c>
      <c r="B8" s="5" t="s">
        <v>1</v>
      </c>
      <c r="C8" s="1" t="n">
        <f aca="false">A8*1/4</f>
        <v>46.5</v>
      </c>
      <c r="G8" s="3" t="n">
        <f aca="false">G6/4</f>
        <v>13328.75</v>
      </c>
      <c r="H8" s="3" t="n">
        <f aca="false">G8</f>
        <v>13328.75</v>
      </c>
      <c r="I8" s="6" t="n">
        <f aca="false">H8*2</f>
        <v>26657.5</v>
      </c>
    </row>
    <row r="10" customFormat="false" ht="15" hidden="false" customHeight="false" outlineLevel="0" collapsed="false">
      <c r="G10" s="3"/>
    </row>
    <row r="14" customFormat="false" ht="15" hidden="false" customHeight="false" outlineLevel="0" collapsed="false">
      <c r="B14" s="1" t="n">
        <v>186</v>
      </c>
      <c r="C14" s="1" t="n">
        <v>20</v>
      </c>
      <c r="D14" s="1" t="n">
        <f aca="false">B14*C14</f>
        <v>3720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LibreOffice/24.2.3.2$Windows_X86_64 LibreOffice_project/433d9c2ded56988e8a90e6b2e771ee4e6a5ab2ba</Application>
  <AppVersion>15.0000</AppVersion>
  <Company>HEAVEN KILLERS RELEASE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2025-01-06T16:29:30Z</dcterms:created>
  <dc:creator>Giacomo</dc:creator>
  <dc:description/>
  <dc:language>it-IT</dc:language>
  <cp:lastModifiedBy/>
  <dcterms:modified xsi:type="dcterms:W3CDTF">2025-02-02T10:17:00Z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