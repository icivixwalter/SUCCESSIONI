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Subalterni" sheetId="1" state="visible" r:id="rId3"/>
    <sheet name="GUIDONIA" sheetId="2" state="visible" r:id="rId4"/>
    <sheet name="SUCCESSIONE_CALCOLI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<sst xmlns="http://schemas.openxmlformats.org/spreadsheetml/2006/main" count="921" uniqueCount="76">
  <si>
    <t xml:space="preserve">Subalterni</t>
  </si>
  <si>
    <t xml:space="preserve">MQ Ciccotti</t>
  </si>
  <si>
    <t xml:space="preserve">Alfonso 3/4</t>
  </si>
  <si>
    <t xml:space="preserve">Eredi 1/4</t>
  </si>
  <si>
    <t xml:space="preserve">Richiesta mq </t>
  </si>
  <si>
    <t xml:space="preserve">Richiesta area manovra</t>
  </si>
  <si>
    <t xml:space="preserve">Valore valore medio 1500 mq</t>
  </si>
  <si>
    <t xml:space="preserve">100 Euro</t>
  </si>
  <si>
    <t xml:space="preserve">% costruita</t>
  </si>
  <si>
    <t xml:space="preserve">PROVINCIA</t>
  </si>
  <si>
    <t xml:space="preserve">Foglio</t>
  </si>
  <si>
    <t xml:space="preserve">NUM</t>
  </si>
  <si>
    <t xml:space="preserve">CAT</t>
  </si>
  <si>
    <t xml:space="preserve">RENDITA</t>
  </si>
  <si>
    <t xml:space="preserve">VALORE_GIULIANO</t>
  </si>
  <si>
    <t xml:space="preserve">NOTE</t>
  </si>
  <si>
    <t xml:space="preserve">INTESTAZIONE_01</t>
  </si>
  <si>
    <t xml:space="preserve">QUOTA</t>
  </si>
  <si>
    <t xml:space="preserve">%</t>
  </si>
  <si>
    <t xml:space="preserve">SUCCESSIONE 1/3 in % A TUTTI
Fabio, Walter, Elisa</t>
  </si>
  <si>
    <t xml:space="preserve">sulla successione si esprime in in 12</t>
  </si>
  <si>
    <t xml:space="preserve">NOTA FINALE</t>
  </si>
  <si>
    <t xml:space="preserve">GUIDONIA</t>
  </si>
  <si>
    <t xml:space="preserve">A04</t>
  </si>
  <si>
    <t xml:space="preserve">casa fabiana</t>
  </si>
  <si>
    <t xml:space="preserve">coletta elena</t>
  </si>
  <si>
    <t xml:space="preserve">2/8</t>
  </si>
  <si>
    <t xml:space="preserve">1/12</t>
  </si>
  <si>
    <t xml:space="preserve">F05</t>
  </si>
  <si>
    <t xml:space="preserve">INSERITA</t>
  </si>
  <si>
    <t xml:space="preserve">F05 DI 180 M2 lastrico solare</t>
  </si>
  <si>
    <t xml:space="preserve">3/12</t>
  </si>
  <si>
    <t xml:space="preserve">non dichiarato</t>
  </si>
  <si>
    <t xml:space="preserve">C07</t>
  </si>
  <si>
    <t xml:space="preserve">LA TETTOIA</t>
  </si>
  <si>
    <t xml:space="preserve">4/16</t>
  </si>
  <si>
    <t xml:space="preserve">F01</t>
  </si>
  <si>
    <t xml:space="preserve">AREA COMUNE CORTILE PIANO TERRA 187 M2</t>
  </si>
  <si>
    <t xml:space="preserve">20 M2 CUCINA + BALCONE</t>
  </si>
  <si>
    <t xml:space="preserve">1/1</t>
  </si>
  <si>
    <t xml:space="preserve">1/3</t>
  </si>
  <si>
    <t xml:space="preserve">C02</t>
  </si>
  <si>
    <t xml:space="preserve">RIPOSTIGLIO 1° PIANO ZIA ANGELA</t>
  </si>
  <si>
    <t xml:space="preserve">CANTINA DA DIVIDERE</t>
  </si>
  <si>
    <t xml:space="preserve">CASA ZIO PIANO TERRA CUCINA</t>
  </si>
  <si>
    <t xml:space="preserve">COLETTA Alfonso Mario  nato a CAPPADOCIA (AQ) il 04/03/1948</t>
  </si>
  <si>
    <t xml:space="preserve">CASA DI MAMMA 1° PIANO ESCLUSO CUCINA</t>
  </si>
  <si>
    <t xml:space="preserve">AQUILA</t>
  </si>
  <si>
    <t xml:space="preserve">A03</t>
  </si>
  <si>
    <t xml:space="preserve">casa cappadocia</t>
  </si>
  <si>
    <t xml:space="preserve">1/9</t>
  </si>
  <si>
    <t xml:space="preserve">FROSINONE</t>
  </si>
  <si>
    <t xml:space="preserve">A02</t>
  </si>
  <si>
    <t xml:space="preserve">casa frosinone</t>
  </si>
  <si>
    <t xml:space="preserve">1/2</t>
  </si>
  <si>
    <t xml:space="preserve">1/6</t>
  </si>
  <si>
    <t xml:space="preserve">ALATRI</t>
  </si>
  <si>
    <t xml:space="preserve">F02</t>
  </si>
  <si>
    <t xml:space="preserve">casa alatri</t>
  </si>
  <si>
    <t xml:space="preserve">3/6</t>
  </si>
  <si>
    <t xml:space="preserve">ESTERNI SUCCESSIONE</t>
  </si>
  <si>
    <t xml:space="preserve">CASA INTERNA</t>
  </si>
  <si>
    <t xml:space="preserve">DE LUCA EMANUELA</t>
  </si>
  <si>
    <t xml:space="preserve">DOLCIOTTI FRANCESCO </t>
  </si>
  <si>
    <t xml:space="preserve">CASA ZIO PIANO TERRA</t>
  </si>
  <si>
    <t xml:space="preserve">-</t>
  </si>
  <si>
    <t xml:space="preserve">BENE COMUNE</t>
  </si>
  <si>
    <t xml:space="preserve">NRO</t>
  </si>
  <si>
    <t xml:space="preserve">RIVALUTAZIONE 5%</t>
  </si>
  <si>
    <t xml:space="preserve">Moltiplicatore A1,A2,A3,A4 = 160</t>
  </si>
  <si>
    <t xml:space="preserve">VALORE WALTER IMU</t>
  </si>
  <si>
    <t xml:space="preserve">VALORE IMU RAPPORTATO AL % DI POSSESSO COLETTA</t>
  </si>
  <si>
    <t xml:space="preserve">VALORE IN BASE ALLA SUCCESSIONE IN BASE A VALORI IMU 3 FRATELLI</t>
  </si>
  <si>
    <t xml:space="preserve">VALORE IN BASE ALLA SUCCESSIONE IN BASE A VALORI IMU WALTER</t>
  </si>
  <si>
    <t xml:space="preserve">F05 DI 180 M2 lastrico solare – TERRAZZA FINALE -  rc 0 valore attribuito per la successione 100,00</t>
  </si>
  <si>
    <t xml:space="preserve">CAPPADOCIA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</si>
</sst>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%"/>
    <numFmt numFmtId="166" formatCode="0.00%"/>
    <numFmt numFmtId="167" formatCode="#,##0.00"/>
    <numFmt numFmtId="168" formatCode="dd/mm/yyyy"/>
    <numFmt numFmtId="169" formatCode="0.00"/>
    <numFmt numFmtId="170" formatCode="General"/>
    <numFmt numFmtId="171" formatCode="#,##0.000"/>
    <numFmt numFmtId="172" formatCode="#,##0"/>
  </numFmts>
  <fonts count="20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Aptos Narrow"/>
      <family val="2"/>
      <charset val="1"/>
    </font>
    <font>
      <b val="true"/>
      <i val="true"/>
      <sz val="11"/>
      <color rgb="FFFF0000"/>
      <name val="Aptos Narrow"/>
      <family val="2"/>
      <charset val="1"/>
    </font>
    <font>
      <i val="true"/>
      <sz val="11"/>
      <color rgb="FFFF0000"/>
      <name val="Aptos Narrow"/>
      <family val="2"/>
      <charset val="1"/>
    </font>
    <font>
      <i val="true"/>
      <sz val="11"/>
      <color theme="1"/>
      <name val="Aptos Narrow"/>
      <family val="2"/>
      <charset val="1"/>
    </font>
    <font>
      <sz val="11"/>
      <color rgb="FFFF4000"/>
      <name val="Aptos Narrow"/>
      <family val="2"/>
      <charset val="1"/>
    </font>
    <font>
      <b val="true"/>
      <sz val="11"/>
      <color rgb="FFFF4000"/>
      <name val="Aptos Narrow"/>
      <family val="2"/>
      <charset val="1"/>
    </font>
    <font>
      <b val="true"/>
      <sz val="11"/>
      <color rgb="FF333333"/>
      <name val="Aptos Narrow"/>
      <family val="2"/>
      <charset val="1"/>
    </font>
    <font>
      <sz val="11"/>
      <color rgb="FF333333"/>
      <name val="Aptos Narrow"/>
      <family val="2"/>
      <charset val="1"/>
    </font>
    <font>
      <b val="true"/>
      <i val="true"/>
      <sz val="11"/>
      <color rgb="FFFF4000"/>
      <name val="Aptos Narrow"/>
      <family val="2"/>
      <charset val="1"/>
    </font>
    <font>
      <sz val="11"/>
      <color rgb="FFFF0000"/>
      <name val="Aptos Narrow"/>
      <family val="2"/>
      <charset val="1"/>
    </font>
    <font>
      <b val="true"/>
      <sz val="11"/>
      <color rgb="FFFF0000"/>
      <name val="Aptos Narrow"/>
      <family val="2"/>
      <charset val="1"/>
    </font>
    <font>
      <sz val="11"/>
      <color rgb="FFC9211E"/>
      <name val="Aptos Narrow"/>
      <family val="2"/>
      <charset val="1"/>
    </font>
    <font>
      <b val="true"/>
      <sz val="11"/>
      <color rgb="FFC9211E"/>
      <name val="Aptos Narrow"/>
      <family val="2"/>
      <charset val="1"/>
    </font>
    <font>
      <b val="true"/>
      <sz val="15"/>
      <color theme="1"/>
      <name val="Aptos Narrow"/>
      <family val="2"/>
      <charset val="1"/>
    </font>
    <font>
      <sz val="11"/>
      <color rgb="FF55308D"/>
      <name val="Aptos Narrow"/>
      <family val="2"/>
      <charset val="1"/>
    </font>
    <font>
      <b val="true"/>
      <sz val="11"/>
      <color rgb="FF55308D"/>
      <name val="Aptos Narrow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CCCCCC"/>
        <bgColor rgb="FFCCCCFF"/>
      </patternFill>
    </fill>
    <fill>
      <patternFill patternType="solid">
        <fgColor rgb="FFFFFF00"/>
        <bgColor rgb="FFFFFF00"/>
      </patternFill>
    </fill>
    <fill>
      <patternFill patternType="solid">
        <fgColor rgb="FFFFFF6D"/>
        <bgColor rgb="FFFFFFCC"/>
      </patternFill>
    </fill>
    <fill>
      <patternFill patternType="solid">
        <fgColor rgb="FF81D41A"/>
        <bgColor rgb="FF3FAF46"/>
      </patternFill>
    </fill>
    <fill>
      <patternFill patternType="solid">
        <fgColor rgb="FF3FAF46"/>
        <bgColor rgb="FF81D41A"/>
      </patternFill>
    </fill>
    <fill>
      <patternFill patternType="solid">
        <fgColor rgb="FFFFA6A6"/>
        <bgColor rgb="FFFFCC9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7" fontId="4" fillId="2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9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10" fillId="3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11" fillId="3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11" fillId="3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8" fontId="11" fillId="3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9" fontId="10" fillId="3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9" fontId="9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9" fillId="3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8" fillId="3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8" fontId="8" fillId="3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9" fontId="9" fillId="3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8" fillId="4" borderId="0" xfId="0" applyFont="true" applyBorder="false" applyAlignment="true" applyProtection="true">
      <alignment horizontal="right" vertical="top" textRotation="0" wrapText="false" indent="0" shrinkToFit="false"/>
      <protection locked="true" hidden="false"/>
    </xf>
    <xf numFmtId="164" fontId="9" fillId="4" borderId="0" xfId="0" applyFont="true" applyBorder="false" applyAlignment="true" applyProtection="true">
      <alignment horizontal="right" vertical="top" textRotation="0" wrapText="false" indent="0" shrinkToFit="false"/>
      <protection locked="true" hidden="false"/>
    </xf>
    <xf numFmtId="164" fontId="8" fillId="4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9" fillId="4" borderId="0" xf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4" fontId="8" fillId="4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8" fontId="8" fillId="4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9" fontId="9" fillId="4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top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right" vertical="top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top" textRotation="0" wrapText="true" indent="0" shrinkToFit="false"/>
      <protection locked="true" hidden="false"/>
    </xf>
    <xf numFmtId="164" fontId="13" fillId="4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13" fillId="4" borderId="0" xfId="0" applyFont="true" applyBorder="false" applyAlignment="true" applyProtection="true">
      <alignment horizontal="right" vertical="top" textRotation="0" wrapText="false" indent="0" shrinkToFit="false"/>
      <protection locked="true" hidden="false"/>
    </xf>
    <xf numFmtId="164" fontId="14" fillId="4" borderId="0" xfId="0" applyFont="true" applyBorder="false" applyAlignment="true" applyProtection="true">
      <alignment horizontal="right" vertical="top" textRotation="0" wrapText="false" indent="0" shrinkToFit="false"/>
      <protection locked="true" hidden="false"/>
    </xf>
    <xf numFmtId="164" fontId="13" fillId="4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14" fillId="4" borderId="0" xf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8" fontId="13" fillId="4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9" fontId="14" fillId="4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70" fontId="8" fillId="3" borderId="0" xfId="0" applyFont="true" applyBorder="false" applyAlignment="true" applyProtection="true">
      <alignment horizontal="left" vertical="bottom" textRotation="0" wrapText="false" indent="1" shrinkToFit="false"/>
      <protection locked="true" hidden="false"/>
    </xf>
    <xf numFmtId="164" fontId="1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5" fillId="3" borderId="0" xfId="0" applyFont="true" applyBorder="false" applyAlignment="true" applyProtection="true">
      <alignment horizontal="left" vertical="bottom" textRotation="0" wrapText="false" indent="1" shrinkToFit="false"/>
      <protection locked="true" hidden="false"/>
    </xf>
    <xf numFmtId="169" fontId="1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3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right" vertical="top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right" vertical="top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4" fontId="0" fillId="5" borderId="0" xfId="0" applyFont="true" applyBorder="false" applyAlignment="true" applyProtection="true">
      <alignment horizontal="right" vertical="top" textRotation="0" wrapText="true" indent="0" shrinkToFit="false"/>
      <protection locked="true" hidden="false"/>
    </xf>
    <xf numFmtId="168" fontId="0" fillId="5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6" borderId="0" xfId="0" applyFont="false" applyBorder="false" applyAlignment="true" applyProtection="true">
      <alignment horizontal="right" vertical="top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right" vertical="top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4" fontId="0" fillId="6" borderId="0" xfId="0" applyFont="true" applyBorder="false" applyAlignment="true" applyProtection="true">
      <alignment horizontal="right" vertical="top" textRotation="0" wrapText="true" indent="0" shrinkToFit="false"/>
      <protection locked="true" hidden="false"/>
    </xf>
    <xf numFmtId="168" fontId="0" fillId="6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top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center" vertical="top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17" fillId="2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71" fontId="4" fillId="2" borderId="0" xfId="0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64" fontId="19" fillId="7" borderId="0" xfId="0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64" fontId="17" fillId="3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9" fillId="3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7" fontId="4" fillId="3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8" fontId="9" fillId="3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7" fontId="9" fillId="3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7" fontId="19" fillId="7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10" fillId="3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7" fontId="16" fillId="3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10" fillId="3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8" fontId="10" fillId="3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12" fillId="3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71" fontId="16" fillId="3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9" fillId="3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9" fillId="4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9" fillId="4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8" fontId="9" fillId="4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14" fillId="4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14" fillId="4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8" fontId="14" fillId="4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70" fontId="9" fillId="3" borderId="0" xfId="0" applyFont="true" applyBorder="false" applyAlignment="true" applyProtection="true">
      <alignment horizontal="left" vertical="top" textRotation="0" wrapText="false" indent="1" shrinkToFit="false"/>
      <protection locked="true" hidden="false"/>
    </xf>
    <xf numFmtId="164" fontId="16" fillId="3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16" fillId="3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71" fontId="14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72" fontId="14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7" fontId="14" fillId="3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8" fontId="16" fillId="3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70" fontId="16" fillId="3" borderId="0" xfId="0" applyFont="true" applyBorder="false" applyAlignment="true" applyProtection="true">
      <alignment horizontal="left" vertical="top" textRotation="0" wrapText="false" indent="1" shrinkToFit="false"/>
      <protection locked="true" hidden="false"/>
    </xf>
    <xf numFmtId="169" fontId="16" fillId="3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71" fontId="19" fillId="7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top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center" vertical="top" textRotation="0" wrapText="false" indent="0" shrinkToFit="false"/>
      <protection locked="true" hidden="false"/>
    </xf>
    <xf numFmtId="167" fontId="18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center" vertical="top" textRotation="0" wrapText="false" indent="0" shrinkToFit="false"/>
      <protection locked="true" hidden="false"/>
    </xf>
    <xf numFmtId="164" fontId="0" fillId="6" borderId="0" xfId="0" applyFont="false" applyBorder="false" applyAlignment="true" applyProtection="true">
      <alignment horizontal="center" vertical="top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D"/>
      <rgbColor rgb="FF99CCFF"/>
      <rgbColor rgb="FFFFA6A6"/>
      <rgbColor rgb="FFCC99FF"/>
      <rgbColor rgb="FFFFCC99"/>
      <rgbColor rgb="FF3366FF"/>
      <rgbColor rgb="FF33CCCC"/>
      <rgbColor rgb="FF81D41A"/>
      <rgbColor rgb="FFFFCC00"/>
      <rgbColor rgb="FFFF9900"/>
      <rgbColor rgb="FFFF4000"/>
      <rgbColor rgb="FF666699"/>
      <rgbColor rgb="FF969696"/>
      <rgbColor rgb="FF003366"/>
      <rgbColor rgb="FF3FAF46"/>
      <rgbColor rgb="FF003300"/>
      <rgbColor rgb="FF333300"/>
      <rgbColor rgb="FFC9211E"/>
      <rgbColor rgb="FF993366"/>
      <rgbColor rgb="FF55308D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Tema di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015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2" width="10.45"/>
    <col collapsed="false" customWidth="true" hidden="false" outlineLevel="0" max="3" min="3" style="2" width="10.18"/>
    <col collapsed="false" customWidth="true" hidden="false" outlineLevel="0" max="5" min="5" style="2" width="13.73"/>
    <col collapsed="false" customWidth="true" hidden="false" outlineLevel="0" max="6" min="6" style="2" width="20.54"/>
    <col collapsed="false" customWidth="true" hidden="false" outlineLevel="0" max="7" min="7" style="2" width="24.91"/>
  </cols>
  <sheetData>
    <row r="1" customFormat="false" ht="14.25" hidden="false" customHeight="false" outlineLevel="0" collapsed="false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</row>
    <row r="2" customFormat="false" ht="14.25" hidden="false" customHeight="false" outlineLevel="0" collapsed="false">
      <c r="A2" s="3" t="n">
        <v>503</v>
      </c>
      <c r="B2" s="2" t="n">
        <f aca="false">73.44+21.46</f>
        <v>94.9</v>
      </c>
      <c r="C2" s="2" t="n">
        <f aca="false">ROUND(B2*3/4,2)</f>
        <v>71.18</v>
      </c>
      <c r="D2" s="2" t="n">
        <f aca="false">ROUND(B2/4,2)</f>
        <v>23.73</v>
      </c>
      <c r="E2" s="2" t="n">
        <f aca="false">D2</f>
        <v>23.73</v>
      </c>
      <c r="G2" s="2" t="n">
        <f aca="false">E2*1200</f>
        <v>28476</v>
      </c>
    </row>
    <row r="3" customFormat="false" ht="14.25" hidden="false" customHeight="false" outlineLevel="0" collapsed="false">
      <c r="A3" s="3" t="n">
        <v>505</v>
      </c>
      <c r="B3" s="2" t="n">
        <v>27.31</v>
      </c>
      <c r="C3" s="2" t="n">
        <f aca="false">ROUND(B3*3/4,2)</f>
        <v>20.48</v>
      </c>
      <c r="D3" s="2" t="n">
        <f aca="false">ROUND(B3/4,2)</f>
        <v>6.83</v>
      </c>
      <c r="E3" s="2" t="n">
        <f aca="false">D3</f>
        <v>6.83</v>
      </c>
      <c r="G3" s="2" t="n">
        <f aca="false">E3*1200</f>
        <v>8196</v>
      </c>
    </row>
    <row r="4" customFormat="false" ht="14.25" hidden="false" customHeight="false" outlineLevel="0" collapsed="false">
      <c r="A4" s="3" t="n">
        <v>518</v>
      </c>
      <c r="B4" s="2" t="n">
        <v>12</v>
      </c>
      <c r="C4" s="2" t="n">
        <f aca="false">ROUND(B4*3/4,2)</f>
        <v>9</v>
      </c>
      <c r="D4" s="2" t="n">
        <f aca="false">ROUND(B4/4,2)</f>
        <v>3</v>
      </c>
      <c r="E4" s="2" t="n">
        <v>3</v>
      </c>
      <c r="G4" s="2" t="n">
        <f aca="false">E4*1200</f>
        <v>3600</v>
      </c>
    </row>
    <row r="5" customFormat="false" ht="14.25" hidden="false" customHeight="false" outlineLevel="0" collapsed="false">
      <c r="A5" s="3" t="n">
        <v>509</v>
      </c>
      <c r="B5" s="2" t="n">
        <f aca="false">20.66+6.89</f>
        <v>27.55</v>
      </c>
      <c r="C5" s="2" t="n">
        <f aca="false">ROUND(B5*3/4,2)</f>
        <v>20.66</v>
      </c>
      <c r="D5" s="2" t="n">
        <f aca="false">ROUND(B5/4,2)</f>
        <v>6.89</v>
      </c>
      <c r="E5" s="2" t="n">
        <f aca="false">D5</f>
        <v>6.89</v>
      </c>
      <c r="G5" s="2" t="n">
        <f aca="false">E5*1200</f>
        <v>8268</v>
      </c>
    </row>
    <row r="6" customFormat="false" ht="14.25" hidden="false" customHeight="false" outlineLevel="0" collapsed="false">
      <c r="A6" s="4" t="n">
        <v>517</v>
      </c>
      <c r="B6" s="5" t="n">
        <v>186</v>
      </c>
      <c r="C6" s="5" t="n">
        <f aca="false">ROUND(B6*3/4,2)</f>
        <v>139.5</v>
      </c>
      <c r="D6" s="5" t="n">
        <f aca="false">ROUND(B6/4,2)</f>
        <v>46.5</v>
      </c>
      <c r="E6" s="5"/>
      <c r="F6" s="2" t="n">
        <f aca="false">D6</f>
        <v>46.5</v>
      </c>
      <c r="G6" s="2" t="n">
        <f aca="false">D6*100</f>
        <v>4650</v>
      </c>
      <c r="H6" s="6" t="s">
        <v>7</v>
      </c>
    </row>
    <row r="7" customFormat="false" ht="14.25" hidden="false" customHeight="false" outlineLevel="0" collapsed="false">
      <c r="A7" s="3" t="n">
        <v>515</v>
      </c>
      <c r="B7" s="2" t="n">
        <v>27.31</v>
      </c>
      <c r="C7" s="2" t="n">
        <f aca="false">ROUND(B7*3/4,2)</f>
        <v>20.48</v>
      </c>
      <c r="D7" s="2" t="n">
        <f aca="false">ROUND(B7/4,2)</f>
        <v>6.83</v>
      </c>
      <c r="E7" s="2" t="n">
        <f aca="false">C7</f>
        <v>20.48</v>
      </c>
      <c r="G7" s="2" t="n">
        <f aca="false">-E7*1200</f>
        <v>-24576</v>
      </c>
    </row>
    <row r="8" customFormat="false" ht="14.25" hidden="false" customHeight="false" outlineLevel="0" collapsed="false">
      <c r="B8" s="3" t="n">
        <f aca="false">SUM(B2:B7)</f>
        <v>375.07</v>
      </c>
      <c r="C8" s="3" t="n">
        <f aca="false">SUM(C2:C7)</f>
        <v>281.3</v>
      </c>
      <c r="D8" s="3" t="n">
        <f aca="false">SUM(D2:D7)</f>
        <v>93.78</v>
      </c>
    </row>
    <row r="9" customFormat="false" ht="14.25" hidden="false" customHeight="false" outlineLevel="0" collapsed="false">
      <c r="A9" s="1" t="s">
        <v>8</v>
      </c>
      <c r="B9" s="7" t="n">
        <f aca="false">(B2+B3+B5+B7)/B8</f>
        <v>0.472098541605567</v>
      </c>
      <c r="C9" s="7" t="n">
        <f aca="false">(B2+B3+B5)/C8</f>
        <v>0.532385353714895</v>
      </c>
      <c r="D9" s="7" t="n">
        <f aca="false">B7/D8</f>
        <v>0.291213478353594</v>
      </c>
      <c r="G9" s="3" t="n">
        <f aca="false">G2+G3+G4+G5+G7+G6</f>
        <v>28614</v>
      </c>
    </row>
    <row r="11" customFormat="false" ht="14.25" hidden="false" customHeight="false" outlineLevel="0" collapsed="false">
      <c r="D11" s="7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DI24"/>
  <sheetViews>
    <sheetView showFormulas="false" showGridLines="true" showRowColHeaders="true" showZeros="true" rightToLeft="false" tabSelected="false" showOutlineSymbols="true" defaultGridColor="true" view="normal" topLeftCell="CO1" colorId="64" zoomScale="90" zoomScaleNormal="90" zoomScalePageLayoutView="100" workbookViewId="0">
      <selection pane="topLeft" activeCell="DG1" activeCellId="0" sqref="DG1"/>
    </sheetView>
  </sheetViews>
  <sheetFormatPr defaultColWidth="12.8046875" defaultRowHeight="13.8" zeroHeight="false" outlineLevelRow="0" outlineLevelCol="0"/>
  <cols>
    <col collapsed="false" customWidth="true" hidden="false" outlineLevel="0" max="1" min="1" style="2" width="14.51"/>
    <col collapsed="false" customWidth="true" hidden="false" outlineLevel="0" max="2" min="2" style="2" width="7.14"/>
    <col collapsed="false" customWidth="true" hidden="false" outlineLevel="0" max="3" min="3" style="2" width="5.64"/>
    <col collapsed="false" customWidth="true" hidden="false" outlineLevel="0" max="4" min="4" style="2" width="10.45"/>
    <col collapsed="false" customWidth="true" hidden="false" outlineLevel="0" max="5" min="5" style="2" width="5.19"/>
    <col collapsed="false" customWidth="true" hidden="false" outlineLevel="0" max="6" min="6" style="2" width="9.55"/>
    <col collapsed="false" customWidth="true" hidden="false" outlineLevel="0" max="8" min="7" style="8" width="17.75"/>
    <col collapsed="false" customWidth="true" hidden="false" outlineLevel="0" max="9" min="9" style="2" width="17.75"/>
    <col collapsed="false" customWidth="true" hidden="false" outlineLevel="0" max="10" min="10" style="2" width="22.49"/>
    <col collapsed="false" customWidth="true" hidden="false" outlineLevel="0" max="11" min="11" style="2" width="10.45"/>
    <col collapsed="false" customWidth="true" hidden="false" outlineLevel="0" max="12" min="12" style="2" width="7.44"/>
    <col collapsed="false" customWidth="true" hidden="false" outlineLevel="0" max="13" min="13" style="2" width="14.36"/>
  </cols>
  <sheetData>
    <row r="1" customFormat="false" ht="64.75" hidden="false" customHeight="true" outlineLevel="0" collapsed="false">
      <c r="A1" s="9" t="s">
        <v>9</v>
      </c>
      <c r="B1" s="9" t="s">
        <v>10</v>
      </c>
      <c r="C1" s="9" t="s">
        <v>11</v>
      </c>
      <c r="D1" s="9" t="s">
        <v>0</v>
      </c>
      <c r="E1" s="9" t="s">
        <v>12</v>
      </c>
      <c r="F1" s="9" t="s">
        <v>13</v>
      </c>
      <c r="G1" s="10" t="s">
        <v>14</v>
      </c>
      <c r="H1" s="10"/>
      <c r="I1" s="9" t="s">
        <v>15</v>
      </c>
      <c r="J1" s="9" t="s">
        <v>16</v>
      </c>
      <c r="K1" s="9" t="s">
        <v>17</v>
      </c>
      <c r="L1" s="9" t="s">
        <v>18</v>
      </c>
      <c r="M1" s="11" t="s">
        <v>19</v>
      </c>
      <c r="N1" s="11" t="s">
        <v>20</v>
      </c>
      <c r="O1" s="12" t="s">
        <v>21</v>
      </c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12"/>
      <c r="BD1" s="12"/>
      <c r="BE1" s="12"/>
      <c r="BF1" s="12"/>
      <c r="BG1" s="12"/>
      <c r="BH1" s="12"/>
      <c r="BI1" s="12"/>
      <c r="BJ1" s="12"/>
      <c r="BK1" s="12"/>
      <c r="BL1" s="12"/>
      <c r="BM1" s="12"/>
      <c r="BN1" s="12"/>
      <c r="BO1" s="12"/>
      <c r="BP1" s="12"/>
      <c r="BQ1" s="12"/>
      <c r="BR1" s="12"/>
      <c r="BS1" s="12"/>
      <c r="BT1" s="12"/>
      <c r="BU1" s="12"/>
      <c r="BV1" s="12"/>
      <c r="BW1" s="12"/>
      <c r="BX1" s="12"/>
      <c r="BY1" s="12"/>
      <c r="BZ1" s="12"/>
      <c r="CA1" s="12"/>
      <c r="CB1" s="12"/>
      <c r="CC1" s="12"/>
      <c r="CD1" s="12"/>
      <c r="CE1" s="12"/>
      <c r="CF1" s="12"/>
      <c r="CG1" s="12"/>
      <c r="CH1" s="12"/>
      <c r="CI1" s="12"/>
      <c r="CJ1" s="12"/>
      <c r="CK1" s="12"/>
      <c r="CL1" s="12"/>
      <c r="CM1" s="12"/>
      <c r="CN1" s="12"/>
      <c r="CO1" s="12"/>
      <c r="CP1" s="12"/>
      <c r="CQ1" s="12"/>
      <c r="CR1" s="12"/>
      <c r="CS1" s="12"/>
      <c r="CT1" s="12"/>
      <c r="CU1" s="12"/>
      <c r="CV1" s="12"/>
      <c r="CW1" s="12"/>
      <c r="CX1" s="12"/>
      <c r="CY1" s="12"/>
      <c r="CZ1" s="12"/>
      <c r="DA1" s="12"/>
      <c r="DB1" s="12"/>
      <c r="DC1" s="12"/>
      <c r="DD1" s="12"/>
      <c r="DE1" s="12"/>
      <c r="DF1" s="12"/>
      <c r="DG1" s="12"/>
      <c r="DH1" s="12"/>
      <c r="DI1" s="12"/>
      <c r="DJ1" s="12"/>
      <c r="DK1" s="12"/>
      <c r="DL1" s="12"/>
      <c r="DM1" s="12"/>
      <c r="DN1" s="12"/>
      <c r="DO1" s="12"/>
      <c r="DP1" s="12"/>
      <c r="DQ1" s="12"/>
      <c r="DR1" s="12"/>
      <c r="DS1" s="12"/>
      <c r="DT1" s="12"/>
      <c r="DU1" s="12"/>
      <c r="DV1" s="12"/>
      <c r="DW1" s="12"/>
      <c r="DX1" s="12"/>
      <c r="DY1" s="12"/>
      <c r="DZ1" s="12"/>
      <c r="EA1" s="12"/>
      <c r="EB1" s="12"/>
      <c r="EC1" s="12"/>
      <c r="ED1" s="12"/>
      <c r="EE1" s="12"/>
      <c r="EF1" s="12"/>
      <c r="EG1" s="12"/>
      <c r="EH1" s="12"/>
      <c r="EI1" s="12"/>
      <c r="EJ1" s="12"/>
      <c r="EK1" s="12"/>
      <c r="EL1" s="12"/>
      <c r="EM1" s="12"/>
      <c r="EN1" s="12"/>
      <c r="EO1" s="12"/>
      <c r="EP1" s="12"/>
      <c r="EQ1" s="12"/>
      <c r="ER1" s="12"/>
      <c r="ES1" s="12"/>
      <c r="ET1" s="12"/>
      <c r="EU1" s="12"/>
      <c r="EV1" s="12"/>
      <c r="EW1" s="12"/>
      <c r="EX1" s="12"/>
      <c r="EY1" s="12"/>
      <c r="EZ1" s="12"/>
      <c r="FA1" s="12"/>
      <c r="FB1" s="12"/>
      <c r="FC1" s="12"/>
      <c r="FD1" s="12"/>
      <c r="FE1" s="12"/>
      <c r="FF1" s="12"/>
      <c r="FG1" s="12"/>
      <c r="FH1" s="12"/>
      <c r="FI1" s="12"/>
      <c r="FJ1" s="12"/>
      <c r="FK1" s="12"/>
      <c r="FL1" s="12"/>
      <c r="FM1" s="12"/>
      <c r="FN1" s="12"/>
      <c r="FO1" s="12"/>
      <c r="FP1" s="12"/>
      <c r="FQ1" s="12"/>
      <c r="FR1" s="12"/>
      <c r="FS1" s="12"/>
      <c r="FT1" s="12"/>
      <c r="FU1" s="12"/>
      <c r="FV1" s="12"/>
      <c r="FW1" s="12"/>
      <c r="FX1" s="12"/>
      <c r="FY1" s="12"/>
      <c r="FZ1" s="12"/>
      <c r="GA1" s="12"/>
      <c r="GB1" s="12"/>
      <c r="GC1" s="12"/>
      <c r="GD1" s="12"/>
      <c r="GE1" s="12"/>
      <c r="GF1" s="12"/>
      <c r="GG1" s="12"/>
      <c r="GH1" s="12"/>
      <c r="GI1" s="12"/>
      <c r="GJ1" s="12"/>
      <c r="GK1" s="12"/>
      <c r="GL1" s="12"/>
      <c r="GM1" s="12"/>
      <c r="GN1" s="12"/>
      <c r="GO1" s="12"/>
      <c r="GP1" s="12"/>
      <c r="GQ1" s="12"/>
      <c r="GR1" s="12"/>
      <c r="GS1" s="12"/>
      <c r="GT1" s="12"/>
      <c r="GU1" s="12"/>
      <c r="GV1" s="12"/>
      <c r="GW1" s="12"/>
      <c r="GX1" s="12"/>
      <c r="GY1" s="12"/>
      <c r="GZ1" s="12"/>
      <c r="HA1" s="12"/>
      <c r="HB1" s="12"/>
      <c r="HC1" s="12"/>
      <c r="HD1" s="12"/>
      <c r="HE1" s="12"/>
      <c r="HF1" s="12"/>
      <c r="HG1" s="12"/>
      <c r="HH1" s="12"/>
      <c r="HI1" s="12"/>
      <c r="HJ1" s="12"/>
      <c r="HK1" s="12"/>
      <c r="HL1" s="12"/>
      <c r="HM1" s="12"/>
      <c r="HN1" s="12"/>
      <c r="HO1" s="12"/>
      <c r="HP1" s="12"/>
      <c r="HQ1" s="12"/>
      <c r="HR1" s="12"/>
      <c r="HS1" s="12"/>
      <c r="HT1" s="12"/>
      <c r="HU1" s="12"/>
      <c r="HV1" s="12"/>
      <c r="HW1" s="12"/>
      <c r="HX1" s="12"/>
      <c r="HY1" s="12"/>
      <c r="HZ1" s="12"/>
      <c r="IA1" s="12"/>
      <c r="IB1" s="12"/>
      <c r="IC1" s="12"/>
      <c r="ID1" s="12"/>
      <c r="IE1" s="12"/>
      <c r="IF1" s="12"/>
      <c r="IG1" s="12"/>
      <c r="IH1" s="12"/>
      <c r="II1" s="12"/>
      <c r="IJ1" s="12"/>
      <c r="IK1" s="12"/>
      <c r="IL1" s="12"/>
      <c r="IM1" s="12"/>
      <c r="IN1" s="12"/>
      <c r="IO1" s="12"/>
      <c r="IP1" s="12"/>
      <c r="IQ1" s="12"/>
      <c r="IR1" s="12"/>
      <c r="IS1" s="12"/>
      <c r="IT1" s="12"/>
      <c r="IU1" s="12"/>
      <c r="IV1" s="12"/>
      <c r="IW1" s="12"/>
      <c r="IX1" s="12"/>
      <c r="IY1" s="12"/>
      <c r="IZ1" s="12"/>
      <c r="JA1" s="12"/>
      <c r="JB1" s="12"/>
      <c r="JC1" s="12"/>
      <c r="JD1" s="12"/>
      <c r="JE1" s="12"/>
      <c r="JF1" s="12"/>
      <c r="JG1" s="12"/>
      <c r="JH1" s="12"/>
      <c r="JI1" s="12"/>
      <c r="JJ1" s="12"/>
      <c r="JK1" s="12"/>
      <c r="JL1" s="12"/>
      <c r="JM1" s="12"/>
      <c r="JN1" s="12"/>
      <c r="JO1" s="12"/>
      <c r="JP1" s="12"/>
      <c r="JQ1" s="12"/>
      <c r="JR1" s="12"/>
      <c r="JS1" s="12"/>
      <c r="JT1" s="12"/>
      <c r="JU1" s="12"/>
      <c r="JV1" s="12"/>
      <c r="JW1" s="12"/>
      <c r="JX1" s="12"/>
      <c r="JY1" s="12"/>
      <c r="JZ1" s="12"/>
      <c r="KA1" s="12"/>
      <c r="KB1" s="12"/>
      <c r="KC1" s="12"/>
      <c r="KD1" s="12"/>
      <c r="KE1" s="12"/>
      <c r="KF1" s="12"/>
      <c r="KG1" s="12"/>
      <c r="KH1" s="12"/>
      <c r="KI1" s="12"/>
      <c r="KJ1" s="12"/>
      <c r="KK1" s="12"/>
      <c r="KL1" s="12"/>
      <c r="KM1" s="12"/>
      <c r="KN1" s="12"/>
      <c r="KO1" s="12"/>
      <c r="KP1" s="12"/>
      <c r="KQ1" s="12"/>
      <c r="KR1" s="12"/>
      <c r="KS1" s="12"/>
      <c r="KT1" s="12"/>
      <c r="KU1" s="12"/>
      <c r="KV1" s="12"/>
      <c r="KW1" s="12"/>
      <c r="KX1" s="12"/>
      <c r="KY1" s="12"/>
      <c r="KZ1" s="12"/>
      <c r="LA1" s="12"/>
      <c r="LB1" s="12"/>
      <c r="LC1" s="12"/>
      <c r="LD1" s="12"/>
      <c r="LE1" s="12"/>
      <c r="LF1" s="12"/>
      <c r="LG1" s="12"/>
      <c r="LH1" s="12"/>
      <c r="LI1" s="12"/>
      <c r="LJ1" s="12"/>
      <c r="LK1" s="12"/>
      <c r="LL1" s="12"/>
      <c r="LM1" s="12"/>
      <c r="LN1" s="12"/>
      <c r="LO1" s="12"/>
      <c r="LP1" s="12"/>
      <c r="LQ1" s="12"/>
      <c r="LR1" s="12"/>
      <c r="LS1" s="12"/>
      <c r="LT1" s="12"/>
      <c r="LU1" s="12"/>
      <c r="LV1" s="12"/>
      <c r="LW1" s="12"/>
      <c r="LX1" s="12"/>
      <c r="LY1" s="12"/>
      <c r="LZ1" s="12"/>
      <c r="MA1" s="12"/>
      <c r="MB1" s="12"/>
      <c r="MC1" s="12"/>
      <c r="MD1" s="12"/>
      <c r="ME1" s="12"/>
      <c r="MF1" s="12"/>
      <c r="MG1" s="12"/>
      <c r="MH1" s="12"/>
      <c r="MI1" s="12"/>
      <c r="MJ1" s="12"/>
      <c r="MK1" s="12"/>
      <c r="ML1" s="12"/>
      <c r="MM1" s="12"/>
      <c r="MN1" s="12"/>
      <c r="MO1" s="12"/>
      <c r="MP1" s="12"/>
      <c r="MQ1" s="12"/>
      <c r="MR1" s="12"/>
      <c r="MS1" s="12"/>
      <c r="MT1" s="12"/>
      <c r="MU1" s="12"/>
      <c r="MV1" s="12"/>
      <c r="MW1" s="12"/>
      <c r="MX1" s="12"/>
      <c r="MY1" s="12"/>
      <c r="MZ1" s="12"/>
      <c r="NA1" s="12"/>
      <c r="NB1" s="12"/>
      <c r="NC1" s="12"/>
      <c r="ND1" s="12"/>
      <c r="NE1" s="12"/>
      <c r="NF1" s="12"/>
      <c r="NG1" s="12"/>
      <c r="NH1" s="12"/>
      <c r="NI1" s="12"/>
      <c r="NJ1" s="12"/>
      <c r="NK1" s="12"/>
      <c r="NL1" s="12"/>
      <c r="NM1" s="12"/>
      <c r="NN1" s="12"/>
      <c r="NO1" s="12"/>
      <c r="NP1" s="12"/>
      <c r="NQ1" s="12"/>
      <c r="NR1" s="12"/>
      <c r="NS1" s="12"/>
      <c r="NT1" s="12"/>
      <c r="NU1" s="12"/>
      <c r="NV1" s="12"/>
      <c r="NW1" s="12"/>
      <c r="NX1" s="12"/>
      <c r="NY1" s="12"/>
      <c r="NZ1" s="12"/>
      <c r="OA1" s="12"/>
      <c r="OB1" s="12"/>
      <c r="OC1" s="12"/>
      <c r="OD1" s="12"/>
      <c r="OE1" s="12"/>
      <c r="OF1" s="12"/>
      <c r="OG1" s="12"/>
      <c r="OH1" s="12"/>
      <c r="OI1" s="12"/>
      <c r="OJ1" s="12"/>
      <c r="OK1" s="12"/>
      <c r="OL1" s="12"/>
      <c r="OM1" s="12"/>
      <c r="ON1" s="12"/>
      <c r="OO1" s="12"/>
      <c r="OP1" s="12"/>
      <c r="OQ1" s="12"/>
      <c r="OR1" s="12"/>
      <c r="OS1" s="12"/>
      <c r="OT1" s="12"/>
      <c r="OU1" s="12"/>
      <c r="OV1" s="12"/>
      <c r="OW1" s="12"/>
      <c r="OX1" s="12"/>
      <c r="OY1" s="12"/>
      <c r="OZ1" s="12"/>
      <c r="PA1" s="12"/>
      <c r="PB1" s="12"/>
      <c r="PC1" s="12"/>
      <c r="PD1" s="12"/>
      <c r="PE1" s="12"/>
      <c r="PF1" s="12"/>
      <c r="PG1" s="12"/>
      <c r="PH1" s="12"/>
      <c r="PI1" s="12"/>
      <c r="PJ1" s="12"/>
      <c r="PK1" s="12"/>
      <c r="PL1" s="12"/>
      <c r="PM1" s="12"/>
      <c r="PN1" s="12"/>
      <c r="PO1" s="12"/>
      <c r="PP1" s="12"/>
      <c r="PQ1" s="12"/>
      <c r="PR1" s="12"/>
      <c r="PS1" s="12"/>
      <c r="PT1" s="12"/>
      <c r="PU1" s="12"/>
      <c r="PV1" s="12"/>
      <c r="PW1" s="12"/>
      <c r="PX1" s="12"/>
      <c r="PY1" s="12"/>
      <c r="PZ1" s="12"/>
      <c r="QA1" s="12"/>
      <c r="QB1" s="12"/>
      <c r="QC1" s="12"/>
      <c r="QD1" s="12"/>
      <c r="QE1" s="12"/>
      <c r="QF1" s="12"/>
      <c r="QG1" s="12"/>
      <c r="QH1" s="12"/>
      <c r="QI1" s="12"/>
      <c r="QJ1" s="12"/>
      <c r="QK1" s="12"/>
      <c r="QL1" s="12"/>
      <c r="QM1" s="12"/>
      <c r="QN1" s="12"/>
      <c r="QO1" s="12"/>
      <c r="QP1" s="12"/>
      <c r="QQ1" s="12"/>
      <c r="QR1" s="12"/>
      <c r="QS1" s="12"/>
      <c r="QT1" s="12"/>
      <c r="QU1" s="12"/>
      <c r="QV1" s="12"/>
      <c r="QW1" s="12"/>
      <c r="QX1" s="12"/>
      <c r="QY1" s="12"/>
      <c r="QZ1" s="12"/>
      <c r="RA1" s="12"/>
      <c r="RB1" s="12"/>
      <c r="RC1" s="12"/>
      <c r="RD1" s="12"/>
      <c r="RE1" s="12"/>
      <c r="RF1" s="12"/>
      <c r="RG1" s="12"/>
      <c r="RH1" s="12"/>
      <c r="RI1" s="12"/>
      <c r="RJ1" s="12"/>
      <c r="RK1" s="12"/>
      <c r="RL1" s="12"/>
      <c r="RM1" s="12"/>
      <c r="RN1" s="12"/>
      <c r="RO1" s="12"/>
      <c r="RP1" s="12"/>
      <c r="RQ1" s="12"/>
      <c r="RR1" s="12"/>
      <c r="RS1" s="12"/>
      <c r="RT1" s="12"/>
      <c r="RU1" s="12"/>
      <c r="RV1" s="12"/>
      <c r="RW1" s="12"/>
      <c r="RX1" s="12"/>
      <c r="RY1" s="12"/>
      <c r="RZ1" s="12"/>
      <c r="SA1" s="12"/>
      <c r="SB1" s="12"/>
      <c r="SC1" s="12"/>
      <c r="SD1" s="12"/>
      <c r="SE1" s="12"/>
      <c r="SF1" s="12"/>
      <c r="SG1" s="12"/>
      <c r="SH1" s="12"/>
      <c r="SI1" s="12"/>
      <c r="SJ1" s="12"/>
      <c r="SK1" s="12"/>
      <c r="SL1" s="12"/>
      <c r="SM1" s="12"/>
      <c r="SN1" s="12"/>
      <c r="SO1" s="12"/>
      <c r="SP1" s="12"/>
      <c r="SQ1" s="12"/>
      <c r="SR1" s="12"/>
      <c r="SS1" s="12"/>
      <c r="ST1" s="12"/>
      <c r="SU1" s="12"/>
      <c r="SV1" s="12"/>
      <c r="SW1" s="12"/>
      <c r="SX1" s="12"/>
      <c r="SY1" s="12"/>
      <c r="SZ1" s="12"/>
      <c r="TA1" s="12"/>
      <c r="TB1" s="12"/>
      <c r="TC1" s="12"/>
      <c r="TD1" s="12"/>
      <c r="TE1" s="12"/>
      <c r="TF1" s="12"/>
      <c r="TG1" s="12"/>
      <c r="TH1" s="12"/>
      <c r="TI1" s="12"/>
      <c r="TJ1" s="12"/>
      <c r="TK1" s="12"/>
      <c r="TL1" s="12"/>
      <c r="TM1" s="12"/>
      <c r="TN1" s="12"/>
      <c r="TO1" s="12"/>
      <c r="TP1" s="12"/>
      <c r="TQ1" s="12"/>
      <c r="TR1" s="12"/>
      <c r="TS1" s="12"/>
      <c r="TT1" s="12"/>
      <c r="TU1" s="12"/>
      <c r="TV1" s="12"/>
      <c r="TW1" s="12"/>
      <c r="TX1" s="12"/>
      <c r="TY1" s="12"/>
      <c r="TZ1" s="12"/>
      <c r="UA1" s="12"/>
      <c r="UB1" s="12"/>
      <c r="UC1" s="12"/>
      <c r="UD1" s="12"/>
      <c r="UE1" s="12"/>
      <c r="UF1" s="12"/>
      <c r="UG1" s="12"/>
      <c r="UH1" s="12"/>
      <c r="UI1" s="12"/>
      <c r="UJ1" s="12"/>
      <c r="UK1" s="12"/>
      <c r="UL1" s="12"/>
      <c r="UM1" s="12"/>
      <c r="UN1" s="12"/>
      <c r="UO1" s="12"/>
      <c r="UP1" s="12"/>
      <c r="UQ1" s="12"/>
      <c r="UR1" s="12"/>
      <c r="US1" s="12"/>
      <c r="UT1" s="12"/>
      <c r="UU1" s="12"/>
      <c r="UV1" s="12"/>
      <c r="UW1" s="12"/>
      <c r="UX1" s="12"/>
      <c r="UY1" s="12"/>
      <c r="UZ1" s="12"/>
      <c r="VA1" s="12"/>
      <c r="VB1" s="12"/>
      <c r="VC1" s="12"/>
      <c r="VD1" s="12"/>
      <c r="VE1" s="12"/>
      <c r="VF1" s="12"/>
      <c r="VG1" s="12"/>
      <c r="VH1" s="12"/>
      <c r="VI1" s="12"/>
      <c r="VJ1" s="12"/>
      <c r="VK1" s="12"/>
      <c r="VL1" s="12"/>
      <c r="VM1" s="12"/>
      <c r="VN1" s="12"/>
      <c r="VO1" s="12"/>
      <c r="VP1" s="12"/>
      <c r="VQ1" s="12"/>
      <c r="VR1" s="12"/>
      <c r="VS1" s="12"/>
      <c r="VT1" s="12"/>
      <c r="VU1" s="12"/>
      <c r="VV1" s="12"/>
      <c r="VW1" s="12"/>
      <c r="VX1" s="12"/>
      <c r="VY1" s="12"/>
      <c r="VZ1" s="12"/>
      <c r="WA1" s="12"/>
      <c r="WB1" s="12"/>
      <c r="WC1" s="12"/>
      <c r="WD1" s="12"/>
      <c r="WE1" s="12"/>
      <c r="WF1" s="12"/>
      <c r="WG1" s="12"/>
      <c r="WH1" s="12"/>
      <c r="WI1" s="12"/>
      <c r="WJ1" s="12"/>
      <c r="WK1" s="12"/>
      <c r="WL1" s="12"/>
      <c r="WM1" s="12"/>
      <c r="WN1" s="12"/>
      <c r="WO1" s="12"/>
      <c r="WP1" s="12"/>
      <c r="WQ1" s="12"/>
      <c r="WR1" s="12"/>
      <c r="WS1" s="12"/>
      <c r="WT1" s="12"/>
      <c r="WU1" s="12"/>
      <c r="WV1" s="12"/>
      <c r="WW1" s="12"/>
      <c r="WX1" s="12"/>
      <c r="WY1" s="12"/>
      <c r="WZ1" s="12"/>
      <c r="XA1" s="12"/>
      <c r="XB1" s="12"/>
      <c r="XC1" s="12"/>
      <c r="XD1" s="12"/>
      <c r="XE1" s="12"/>
      <c r="XF1" s="12"/>
      <c r="XG1" s="12"/>
      <c r="XH1" s="12"/>
      <c r="XI1" s="12"/>
      <c r="XJ1" s="12"/>
      <c r="XK1" s="12"/>
      <c r="XL1" s="12"/>
      <c r="XM1" s="12"/>
      <c r="XN1" s="12"/>
      <c r="XO1" s="12"/>
      <c r="XP1" s="12"/>
      <c r="XQ1" s="12"/>
      <c r="XR1" s="12"/>
      <c r="XS1" s="12"/>
      <c r="XT1" s="12"/>
      <c r="XU1" s="12"/>
      <c r="XV1" s="12"/>
      <c r="XW1" s="12"/>
      <c r="XX1" s="12"/>
      <c r="XY1" s="12"/>
      <c r="XZ1" s="12"/>
      <c r="YA1" s="12"/>
      <c r="YB1" s="12"/>
      <c r="YC1" s="12"/>
      <c r="YD1" s="12"/>
      <c r="YE1" s="12"/>
      <c r="YF1" s="12"/>
      <c r="YG1" s="12"/>
      <c r="YH1" s="12"/>
      <c r="YI1" s="12"/>
      <c r="YJ1" s="12"/>
      <c r="YK1" s="12"/>
      <c r="YL1" s="12"/>
      <c r="YM1" s="12"/>
      <c r="YN1" s="12"/>
      <c r="YO1" s="12"/>
      <c r="YP1" s="12"/>
      <c r="YQ1" s="12"/>
      <c r="YR1" s="12"/>
      <c r="YS1" s="12"/>
      <c r="YT1" s="12"/>
      <c r="YU1" s="12"/>
      <c r="YV1" s="12"/>
      <c r="YW1" s="12"/>
      <c r="YX1" s="12"/>
      <c r="YY1" s="12"/>
      <c r="YZ1" s="12"/>
      <c r="ZA1" s="12"/>
      <c r="ZB1" s="12"/>
      <c r="ZC1" s="12"/>
      <c r="ZD1" s="12"/>
      <c r="ZE1" s="12"/>
      <c r="ZF1" s="12"/>
      <c r="ZG1" s="12"/>
      <c r="ZH1" s="12"/>
      <c r="ZI1" s="12"/>
      <c r="ZJ1" s="12"/>
      <c r="ZK1" s="12"/>
      <c r="ZL1" s="12"/>
      <c r="ZM1" s="12"/>
      <c r="ZN1" s="12"/>
      <c r="ZO1" s="12"/>
      <c r="ZP1" s="12"/>
      <c r="ZQ1" s="12"/>
      <c r="ZR1" s="12"/>
      <c r="ZS1" s="12"/>
      <c r="ZT1" s="12"/>
      <c r="ZU1" s="12"/>
      <c r="ZV1" s="12"/>
      <c r="ZW1" s="12"/>
      <c r="ZX1" s="12"/>
      <c r="ZY1" s="12"/>
      <c r="ZZ1" s="12"/>
      <c r="AAA1" s="12"/>
      <c r="AAB1" s="12"/>
      <c r="AAC1" s="12"/>
      <c r="AAD1" s="12"/>
      <c r="AAE1" s="12"/>
      <c r="AAF1" s="12"/>
      <c r="AAG1" s="12"/>
      <c r="AAH1" s="12"/>
      <c r="AAI1" s="12"/>
      <c r="AAJ1" s="12"/>
      <c r="AAK1" s="12"/>
      <c r="AAL1" s="12"/>
      <c r="AAM1" s="12"/>
      <c r="AAN1" s="12"/>
      <c r="AAO1" s="12"/>
      <c r="AAP1" s="12"/>
      <c r="AAQ1" s="12"/>
      <c r="AAR1" s="12"/>
      <c r="AAS1" s="12"/>
      <c r="AAT1" s="12"/>
      <c r="AAU1" s="12"/>
      <c r="AAV1" s="12"/>
      <c r="AAW1" s="12"/>
      <c r="AAX1" s="12"/>
      <c r="AAY1" s="12"/>
      <c r="AAZ1" s="12"/>
      <c r="ABA1" s="12"/>
      <c r="ABB1" s="12"/>
      <c r="ABC1" s="12"/>
      <c r="ABD1" s="12"/>
      <c r="ABE1" s="12"/>
      <c r="ABF1" s="12"/>
      <c r="ABG1" s="12"/>
      <c r="ABH1" s="12"/>
      <c r="ABI1" s="12"/>
      <c r="ABJ1" s="12"/>
      <c r="ABK1" s="12"/>
      <c r="ABL1" s="12"/>
      <c r="ABM1" s="12"/>
      <c r="ABN1" s="12"/>
      <c r="ABO1" s="12"/>
      <c r="ABP1" s="12"/>
      <c r="ABQ1" s="12"/>
      <c r="ABR1" s="12"/>
      <c r="ABS1" s="12"/>
      <c r="ABT1" s="12"/>
      <c r="ABU1" s="12"/>
      <c r="ABV1" s="12"/>
      <c r="ABW1" s="12"/>
      <c r="ABX1" s="12"/>
      <c r="ABY1" s="12"/>
      <c r="ABZ1" s="12"/>
      <c r="ACA1" s="12"/>
      <c r="ACB1" s="12"/>
      <c r="ACC1" s="12"/>
      <c r="ACD1" s="12"/>
      <c r="ACE1" s="12"/>
      <c r="ACF1" s="12"/>
      <c r="ACG1" s="12"/>
      <c r="ACH1" s="12"/>
      <c r="ACI1" s="12"/>
      <c r="ACJ1" s="12"/>
      <c r="ACK1" s="12"/>
      <c r="ACL1" s="12"/>
      <c r="ACM1" s="12"/>
      <c r="ACN1" s="12"/>
      <c r="ACO1" s="12"/>
      <c r="ACP1" s="12"/>
      <c r="ACQ1" s="12"/>
      <c r="ACR1" s="12"/>
      <c r="ACS1" s="12"/>
      <c r="ACT1" s="12"/>
      <c r="ACU1" s="12"/>
      <c r="ACV1" s="12"/>
      <c r="ACW1" s="12"/>
      <c r="ACX1" s="12"/>
      <c r="ACY1" s="12"/>
      <c r="ACZ1" s="12"/>
      <c r="ADA1" s="12"/>
      <c r="ADB1" s="12"/>
      <c r="ADC1" s="12"/>
      <c r="ADD1" s="12"/>
      <c r="ADE1" s="12"/>
      <c r="ADF1" s="12"/>
      <c r="ADG1" s="12"/>
      <c r="ADH1" s="12"/>
      <c r="ADI1" s="12"/>
      <c r="ADJ1" s="12"/>
      <c r="ADK1" s="12"/>
      <c r="ADL1" s="12"/>
      <c r="ADM1" s="12"/>
      <c r="ADN1" s="12"/>
      <c r="ADO1" s="12"/>
      <c r="ADP1" s="12"/>
      <c r="ADQ1" s="12"/>
      <c r="ADR1" s="12"/>
      <c r="ADS1" s="12"/>
      <c r="ADT1" s="12"/>
      <c r="ADU1" s="12"/>
      <c r="ADV1" s="12"/>
      <c r="ADW1" s="12"/>
      <c r="ADX1" s="12"/>
      <c r="ADY1" s="12"/>
      <c r="ADZ1" s="12"/>
      <c r="AEA1" s="12"/>
      <c r="AEB1" s="12"/>
      <c r="AEC1" s="12"/>
      <c r="AED1" s="12"/>
      <c r="AEE1" s="12"/>
      <c r="AEF1" s="12"/>
      <c r="AEG1" s="12"/>
      <c r="AEH1" s="12"/>
      <c r="AEI1" s="12"/>
      <c r="AEJ1" s="12"/>
      <c r="AEK1" s="12"/>
      <c r="AEL1" s="12"/>
      <c r="AEM1" s="12"/>
      <c r="AEN1" s="12"/>
      <c r="AEO1" s="12"/>
      <c r="AEP1" s="12"/>
      <c r="AEQ1" s="12"/>
      <c r="AER1" s="12"/>
      <c r="AES1" s="12"/>
      <c r="AET1" s="12"/>
      <c r="AEU1" s="12"/>
      <c r="AEV1" s="12"/>
      <c r="AEW1" s="12"/>
      <c r="AEX1" s="12"/>
      <c r="AEY1" s="12"/>
      <c r="AEZ1" s="12"/>
      <c r="AFA1" s="12"/>
      <c r="AFB1" s="12"/>
      <c r="AFC1" s="12"/>
      <c r="AFD1" s="12"/>
      <c r="AFE1" s="12"/>
      <c r="AFF1" s="12"/>
      <c r="AFG1" s="12"/>
      <c r="AFH1" s="12"/>
      <c r="AFI1" s="12"/>
      <c r="AFJ1" s="12"/>
      <c r="AFK1" s="12"/>
      <c r="AFL1" s="12"/>
      <c r="AFM1" s="12"/>
      <c r="AFN1" s="12"/>
      <c r="AFO1" s="12"/>
      <c r="AFP1" s="12"/>
      <c r="AFQ1" s="12"/>
      <c r="AFR1" s="12"/>
      <c r="AFS1" s="12"/>
      <c r="AFT1" s="12"/>
      <c r="AFU1" s="12"/>
      <c r="AFV1" s="12"/>
      <c r="AFW1" s="12"/>
      <c r="AFX1" s="12"/>
      <c r="AFY1" s="12"/>
      <c r="AFZ1" s="12"/>
      <c r="AGA1" s="12"/>
      <c r="AGB1" s="12"/>
      <c r="AGC1" s="12"/>
      <c r="AGD1" s="12"/>
      <c r="AGE1" s="12"/>
      <c r="AGF1" s="12"/>
      <c r="AGG1" s="12"/>
      <c r="AGH1" s="12"/>
      <c r="AGI1" s="12"/>
      <c r="AGJ1" s="12"/>
      <c r="AGK1" s="12"/>
      <c r="AGL1" s="12"/>
      <c r="AGM1" s="12"/>
      <c r="AGN1" s="12"/>
      <c r="AGO1" s="12"/>
      <c r="AGP1" s="12"/>
      <c r="AGQ1" s="12"/>
      <c r="AGR1" s="12"/>
      <c r="AGS1" s="12"/>
      <c r="AGT1" s="12"/>
      <c r="AGU1" s="12"/>
      <c r="AGV1" s="12"/>
      <c r="AGW1" s="12"/>
      <c r="AGX1" s="12"/>
      <c r="AGY1" s="12"/>
      <c r="AGZ1" s="12"/>
      <c r="AHA1" s="12"/>
      <c r="AHB1" s="12"/>
      <c r="AHC1" s="12"/>
      <c r="AHD1" s="12"/>
      <c r="AHE1" s="12"/>
      <c r="AHF1" s="12"/>
      <c r="AHG1" s="12"/>
      <c r="AHH1" s="12"/>
      <c r="AHI1" s="12"/>
      <c r="AHJ1" s="12"/>
      <c r="AHK1" s="12"/>
      <c r="AHL1" s="12"/>
      <c r="AHM1" s="12"/>
      <c r="AHN1" s="12"/>
      <c r="AHO1" s="12"/>
      <c r="AHP1" s="12"/>
      <c r="AHQ1" s="12"/>
      <c r="AHR1" s="12"/>
      <c r="AHS1" s="12"/>
      <c r="AHT1" s="12"/>
      <c r="AHU1" s="12"/>
      <c r="AHV1" s="12"/>
      <c r="AHW1" s="12"/>
      <c r="AHX1" s="12"/>
      <c r="AHY1" s="12"/>
      <c r="AHZ1" s="12"/>
      <c r="AIA1" s="12"/>
      <c r="AIB1" s="12"/>
      <c r="AIC1" s="12"/>
      <c r="AID1" s="12"/>
      <c r="AIE1" s="12"/>
      <c r="AIF1" s="12"/>
      <c r="AIG1" s="12"/>
      <c r="AIH1" s="12"/>
      <c r="AII1" s="12"/>
      <c r="AIJ1" s="12"/>
      <c r="AIK1" s="12"/>
      <c r="AIL1" s="12"/>
      <c r="AIM1" s="12"/>
      <c r="AIN1" s="12"/>
      <c r="AIO1" s="12"/>
      <c r="AIP1" s="12"/>
      <c r="AIQ1" s="12"/>
      <c r="AIR1" s="12"/>
      <c r="AIS1" s="12"/>
      <c r="AIT1" s="12"/>
      <c r="AIU1" s="12"/>
      <c r="AIV1" s="12"/>
      <c r="AIW1" s="12"/>
      <c r="AIX1" s="12"/>
      <c r="AIY1" s="12"/>
      <c r="AIZ1" s="12"/>
      <c r="AJA1" s="12"/>
      <c r="AJB1" s="12"/>
      <c r="AJC1" s="12"/>
      <c r="AJD1" s="12"/>
      <c r="AJE1" s="12"/>
      <c r="AJF1" s="12"/>
      <c r="AJG1" s="12"/>
      <c r="AJH1" s="12"/>
      <c r="AJI1" s="12"/>
      <c r="AJJ1" s="12"/>
      <c r="AJK1" s="12"/>
      <c r="AJL1" s="12"/>
      <c r="AJM1" s="12"/>
      <c r="AJN1" s="12"/>
      <c r="AJO1" s="12"/>
      <c r="AJP1" s="12"/>
      <c r="AJQ1" s="12"/>
      <c r="AJR1" s="12"/>
      <c r="AJS1" s="12"/>
      <c r="AJT1" s="12"/>
      <c r="AJU1" s="12"/>
      <c r="AJV1" s="12"/>
      <c r="AJW1" s="12"/>
      <c r="AJX1" s="12"/>
      <c r="AJY1" s="12"/>
      <c r="AJZ1" s="12"/>
      <c r="AKA1" s="12"/>
      <c r="AKB1" s="12"/>
      <c r="AKC1" s="12"/>
      <c r="AKD1" s="12"/>
      <c r="AKE1" s="12"/>
      <c r="AKF1" s="12"/>
      <c r="AKG1" s="12"/>
      <c r="AKH1" s="12"/>
      <c r="AKI1" s="12"/>
      <c r="AKJ1" s="12"/>
      <c r="AKK1" s="12"/>
      <c r="AKL1" s="12"/>
      <c r="AKM1" s="12"/>
      <c r="AKN1" s="12"/>
      <c r="AKO1" s="12"/>
      <c r="AKP1" s="12"/>
      <c r="AKQ1" s="12"/>
      <c r="AKR1" s="12"/>
      <c r="AKS1" s="12"/>
      <c r="AKT1" s="12"/>
      <c r="AKU1" s="12"/>
      <c r="AKV1" s="12"/>
      <c r="AKW1" s="12"/>
      <c r="AKX1" s="12"/>
      <c r="AKY1" s="12"/>
      <c r="AKZ1" s="12"/>
      <c r="ALA1" s="12"/>
      <c r="ALB1" s="12"/>
      <c r="ALC1" s="12"/>
      <c r="ALD1" s="12"/>
      <c r="ALE1" s="12"/>
      <c r="ALF1" s="12"/>
      <c r="ALG1" s="12"/>
      <c r="ALH1" s="12"/>
      <c r="ALI1" s="12"/>
      <c r="ALJ1" s="12"/>
      <c r="ALK1" s="12"/>
      <c r="ALL1" s="12"/>
      <c r="ALM1" s="12"/>
      <c r="ALN1" s="12"/>
      <c r="ALO1" s="12"/>
      <c r="ALP1" s="12"/>
      <c r="ALQ1" s="12"/>
      <c r="ALR1" s="12"/>
      <c r="ALS1" s="12"/>
      <c r="ALT1" s="12"/>
      <c r="ALU1" s="12"/>
      <c r="ALV1" s="12"/>
      <c r="ALW1" s="12"/>
      <c r="ALX1" s="12"/>
      <c r="ALY1" s="12"/>
      <c r="ALZ1" s="12"/>
      <c r="AMA1" s="12"/>
      <c r="AMB1" s="12"/>
      <c r="AMC1" s="12"/>
      <c r="AMD1" s="12"/>
      <c r="AME1" s="12"/>
      <c r="AMF1" s="12"/>
      <c r="AMG1" s="12"/>
      <c r="AMH1" s="12"/>
      <c r="AMI1" s="12"/>
      <c r="AMJ1" s="12"/>
      <c r="AMK1" s="12"/>
      <c r="AML1" s="12"/>
      <c r="AMM1" s="12"/>
      <c r="AMN1" s="12"/>
      <c r="AMO1" s="12"/>
      <c r="AMP1" s="12"/>
      <c r="AMQ1" s="12"/>
      <c r="AMR1" s="12"/>
      <c r="AMS1" s="12"/>
      <c r="AMT1" s="12"/>
      <c r="AMU1" s="12"/>
      <c r="AMV1" s="12"/>
      <c r="AMW1" s="12"/>
      <c r="AMX1" s="12"/>
      <c r="AMY1" s="12"/>
      <c r="AMZ1" s="12"/>
      <c r="ANA1" s="12"/>
      <c r="ANB1" s="12"/>
      <c r="ANC1" s="12"/>
      <c r="AND1" s="12"/>
      <c r="ANE1" s="12"/>
      <c r="ANF1" s="12"/>
      <c r="ANG1" s="12"/>
      <c r="ANH1" s="12"/>
      <c r="ANI1" s="12"/>
      <c r="ANJ1" s="12"/>
      <c r="ANK1" s="12"/>
      <c r="ANL1" s="12"/>
      <c r="ANM1" s="12"/>
      <c r="ANN1" s="12"/>
      <c r="ANO1" s="12"/>
      <c r="ANP1" s="12"/>
      <c r="ANQ1" s="12"/>
      <c r="ANR1" s="12"/>
      <c r="ANS1" s="12"/>
      <c r="ANT1" s="12"/>
      <c r="ANU1" s="12"/>
      <c r="ANV1" s="12"/>
      <c r="ANW1" s="12"/>
      <c r="ANX1" s="12"/>
      <c r="ANY1" s="12"/>
      <c r="ANZ1" s="12"/>
      <c r="AOA1" s="12"/>
      <c r="AOB1" s="12"/>
      <c r="AOC1" s="12"/>
      <c r="AOD1" s="12"/>
      <c r="AOE1" s="12"/>
      <c r="AOF1" s="12"/>
      <c r="AOG1" s="12"/>
      <c r="AOH1" s="12"/>
      <c r="AOI1" s="12"/>
      <c r="AOJ1" s="12"/>
      <c r="AOK1" s="12"/>
      <c r="AOL1" s="12"/>
      <c r="AOM1" s="12"/>
      <c r="AON1" s="12"/>
      <c r="AOO1" s="12"/>
      <c r="AOP1" s="12"/>
      <c r="AOQ1" s="12"/>
      <c r="AOR1" s="12"/>
      <c r="AOS1" s="12"/>
      <c r="AOT1" s="12"/>
      <c r="AOU1" s="12"/>
      <c r="AOV1" s="12"/>
      <c r="AOW1" s="12"/>
      <c r="AOX1" s="12"/>
      <c r="AOY1" s="12"/>
      <c r="AOZ1" s="12"/>
      <c r="APA1" s="12"/>
      <c r="APB1" s="12"/>
      <c r="APC1" s="12"/>
      <c r="APD1" s="12"/>
      <c r="APE1" s="12"/>
      <c r="APF1" s="12"/>
      <c r="APG1" s="12"/>
      <c r="APH1" s="12"/>
      <c r="API1" s="12"/>
      <c r="APJ1" s="12"/>
      <c r="APK1" s="12"/>
      <c r="APL1" s="12"/>
      <c r="APM1" s="12"/>
      <c r="APN1" s="12"/>
      <c r="APO1" s="12"/>
      <c r="APP1" s="12"/>
      <c r="APQ1" s="12"/>
      <c r="APR1" s="12"/>
      <c r="APS1" s="12"/>
      <c r="APT1" s="12"/>
      <c r="APU1" s="12"/>
      <c r="APV1" s="12"/>
      <c r="APW1" s="12"/>
      <c r="APX1" s="12"/>
      <c r="APY1" s="12"/>
      <c r="APZ1" s="12"/>
      <c r="AQA1" s="12"/>
      <c r="AQB1" s="12"/>
      <c r="AQC1" s="12"/>
      <c r="AQD1" s="12"/>
      <c r="AQE1" s="12"/>
      <c r="AQF1" s="12"/>
      <c r="AQG1" s="12"/>
      <c r="AQH1" s="12"/>
      <c r="AQI1" s="12"/>
      <c r="AQJ1" s="12"/>
      <c r="AQK1" s="12"/>
      <c r="AQL1" s="12"/>
      <c r="AQM1" s="12"/>
      <c r="AQN1" s="12"/>
      <c r="AQO1" s="12"/>
      <c r="AQP1" s="12"/>
      <c r="AQQ1" s="12"/>
      <c r="AQR1" s="12"/>
      <c r="AQS1" s="12"/>
      <c r="AQT1" s="12"/>
      <c r="AQU1" s="12"/>
      <c r="AQV1" s="12"/>
      <c r="AQW1" s="12"/>
      <c r="AQX1" s="12"/>
      <c r="AQY1" s="12"/>
      <c r="AQZ1" s="12"/>
      <c r="ARA1" s="12"/>
      <c r="ARB1" s="12"/>
      <c r="ARC1" s="12"/>
      <c r="ARD1" s="12"/>
      <c r="ARE1" s="12"/>
      <c r="ARF1" s="12"/>
      <c r="ARG1" s="12"/>
      <c r="ARH1" s="12"/>
      <c r="ARI1" s="12"/>
      <c r="ARJ1" s="12"/>
      <c r="ARK1" s="12"/>
      <c r="ARL1" s="12"/>
      <c r="ARM1" s="12"/>
      <c r="ARN1" s="12"/>
      <c r="ARO1" s="12"/>
      <c r="ARP1" s="12"/>
      <c r="ARQ1" s="12"/>
      <c r="ARR1" s="12"/>
      <c r="ARS1" s="12"/>
      <c r="ART1" s="12"/>
      <c r="ARU1" s="12"/>
      <c r="ARV1" s="12"/>
      <c r="ARW1" s="12"/>
      <c r="ARX1" s="12"/>
      <c r="ARY1" s="12"/>
      <c r="ARZ1" s="12"/>
      <c r="ASA1" s="12"/>
      <c r="ASB1" s="12"/>
      <c r="ASC1" s="12"/>
      <c r="ASD1" s="12"/>
      <c r="ASE1" s="12"/>
      <c r="ASF1" s="12"/>
      <c r="ASG1" s="12"/>
      <c r="ASH1" s="12"/>
      <c r="ASI1" s="12"/>
      <c r="ASJ1" s="12"/>
      <c r="ASK1" s="12"/>
      <c r="ASL1" s="12"/>
      <c r="ASM1" s="12"/>
      <c r="ASN1" s="12"/>
      <c r="ASO1" s="12"/>
      <c r="ASP1" s="12"/>
      <c r="ASQ1" s="12"/>
      <c r="ASR1" s="12"/>
      <c r="ASS1" s="12"/>
      <c r="AST1" s="12"/>
      <c r="ASU1" s="12"/>
      <c r="ASV1" s="12"/>
      <c r="ASW1" s="12"/>
      <c r="ASX1" s="12"/>
      <c r="ASY1" s="12"/>
      <c r="ASZ1" s="12"/>
      <c r="ATA1" s="12"/>
      <c r="ATB1" s="12"/>
      <c r="ATC1" s="12"/>
      <c r="ATD1" s="12"/>
      <c r="ATE1" s="12"/>
      <c r="ATF1" s="12"/>
      <c r="ATG1" s="12"/>
      <c r="ATH1" s="12"/>
      <c r="ATI1" s="12"/>
      <c r="ATJ1" s="12"/>
      <c r="ATK1" s="12"/>
      <c r="ATL1" s="12"/>
      <c r="ATM1" s="12"/>
      <c r="ATN1" s="12"/>
      <c r="ATO1" s="12"/>
      <c r="ATP1" s="12"/>
      <c r="ATQ1" s="12"/>
      <c r="ATR1" s="12"/>
      <c r="ATS1" s="12"/>
      <c r="ATT1" s="12"/>
      <c r="ATU1" s="12"/>
      <c r="ATV1" s="12"/>
      <c r="ATW1" s="12"/>
      <c r="ATX1" s="12"/>
      <c r="ATY1" s="12"/>
      <c r="ATZ1" s="12"/>
      <c r="AUA1" s="12"/>
      <c r="AUB1" s="12"/>
      <c r="AUC1" s="12"/>
      <c r="AUD1" s="12"/>
      <c r="AUE1" s="12"/>
      <c r="AUF1" s="12"/>
      <c r="AUG1" s="12"/>
      <c r="AUH1" s="12"/>
      <c r="AUI1" s="12"/>
      <c r="AUJ1" s="12"/>
      <c r="AUK1" s="12"/>
      <c r="AUL1" s="12"/>
      <c r="AUM1" s="12"/>
      <c r="AUN1" s="12"/>
      <c r="AUO1" s="12"/>
      <c r="AUP1" s="12"/>
      <c r="AUQ1" s="12"/>
      <c r="AUR1" s="12"/>
      <c r="AUS1" s="12"/>
      <c r="AUT1" s="12"/>
      <c r="AUU1" s="12"/>
      <c r="AUV1" s="12"/>
      <c r="AUW1" s="12"/>
      <c r="AUX1" s="12"/>
      <c r="AUY1" s="12"/>
      <c r="AUZ1" s="12"/>
      <c r="AVA1" s="12"/>
      <c r="AVB1" s="12"/>
      <c r="AVC1" s="12"/>
      <c r="AVD1" s="12"/>
      <c r="AVE1" s="12"/>
      <c r="AVF1" s="12"/>
      <c r="AVG1" s="12"/>
      <c r="AVH1" s="12"/>
      <c r="AVI1" s="12"/>
      <c r="AVJ1" s="12"/>
      <c r="AVK1" s="12"/>
      <c r="AVL1" s="12"/>
      <c r="AVM1" s="12"/>
      <c r="AVN1" s="12"/>
      <c r="AVO1" s="12"/>
      <c r="AVP1" s="12"/>
      <c r="AVQ1" s="12"/>
      <c r="AVR1" s="12"/>
      <c r="AVS1" s="12"/>
      <c r="AVT1" s="12"/>
      <c r="AVU1" s="12"/>
      <c r="AVV1" s="12"/>
      <c r="AVW1" s="12"/>
      <c r="AVX1" s="12"/>
      <c r="AVY1" s="12"/>
      <c r="AVZ1" s="12"/>
      <c r="AWA1" s="12"/>
      <c r="AWB1" s="12"/>
      <c r="AWC1" s="12"/>
      <c r="AWD1" s="12"/>
      <c r="AWE1" s="12"/>
      <c r="AWF1" s="12"/>
      <c r="AWG1" s="12"/>
      <c r="AWH1" s="12"/>
      <c r="AWI1" s="12"/>
      <c r="AWJ1" s="12"/>
      <c r="AWK1" s="12"/>
      <c r="AWL1" s="12"/>
      <c r="AWM1" s="12"/>
      <c r="AWN1" s="12"/>
      <c r="AWO1" s="12"/>
      <c r="AWP1" s="12"/>
      <c r="AWQ1" s="12"/>
      <c r="AWR1" s="12"/>
      <c r="AWS1" s="12"/>
      <c r="AWT1" s="12"/>
      <c r="AWU1" s="12"/>
      <c r="AWV1" s="12"/>
      <c r="AWW1" s="12"/>
      <c r="AWX1" s="12"/>
      <c r="AWY1" s="12"/>
      <c r="AWZ1" s="12"/>
      <c r="AXA1" s="12"/>
      <c r="AXB1" s="12"/>
      <c r="AXC1" s="12"/>
      <c r="AXD1" s="12"/>
      <c r="AXE1" s="12"/>
      <c r="AXF1" s="12"/>
      <c r="AXG1" s="12"/>
      <c r="AXH1" s="12"/>
      <c r="AXI1" s="12"/>
      <c r="AXJ1" s="12"/>
      <c r="AXK1" s="12"/>
      <c r="AXL1" s="12"/>
      <c r="AXM1" s="12"/>
      <c r="AXN1" s="12"/>
      <c r="AXO1" s="12"/>
      <c r="AXP1" s="12"/>
      <c r="AXQ1" s="12"/>
      <c r="AXR1" s="12"/>
      <c r="AXS1" s="12"/>
      <c r="AXT1" s="12"/>
      <c r="AXU1" s="12"/>
      <c r="AXV1" s="12"/>
      <c r="AXW1" s="12"/>
      <c r="AXX1" s="12"/>
      <c r="AXY1" s="12"/>
      <c r="AXZ1" s="12"/>
      <c r="AYA1" s="12"/>
      <c r="AYB1" s="12"/>
      <c r="AYC1" s="12"/>
      <c r="AYD1" s="12"/>
      <c r="AYE1" s="12"/>
      <c r="AYF1" s="12"/>
      <c r="AYG1" s="12"/>
      <c r="AYH1" s="12"/>
      <c r="AYI1" s="12"/>
      <c r="AYJ1" s="12"/>
      <c r="AYK1" s="12"/>
      <c r="AYL1" s="12"/>
      <c r="AYM1" s="12"/>
      <c r="AYN1" s="12"/>
      <c r="AYO1" s="12"/>
      <c r="AYP1" s="12"/>
      <c r="AYQ1" s="12"/>
      <c r="AYR1" s="12"/>
      <c r="AYS1" s="12"/>
      <c r="AYT1" s="12"/>
      <c r="AYU1" s="12"/>
      <c r="AYV1" s="12"/>
      <c r="AYW1" s="12"/>
      <c r="AYX1" s="12"/>
      <c r="AYY1" s="12"/>
      <c r="AYZ1" s="12"/>
      <c r="AZA1" s="12"/>
      <c r="AZB1" s="12"/>
      <c r="AZC1" s="12"/>
      <c r="AZD1" s="12"/>
      <c r="AZE1" s="12"/>
      <c r="AZF1" s="12"/>
      <c r="AZG1" s="12"/>
      <c r="AZH1" s="12"/>
      <c r="AZI1" s="12"/>
      <c r="AZJ1" s="12"/>
      <c r="AZK1" s="12"/>
      <c r="AZL1" s="12"/>
      <c r="AZM1" s="12"/>
      <c r="AZN1" s="12"/>
      <c r="AZO1" s="12"/>
      <c r="AZP1" s="12"/>
      <c r="AZQ1" s="12"/>
      <c r="AZR1" s="12"/>
      <c r="AZS1" s="12"/>
      <c r="AZT1" s="12"/>
      <c r="AZU1" s="12"/>
      <c r="AZV1" s="12"/>
      <c r="AZW1" s="12"/>
      <c r="AZX1" s="12"/>
      <c r="AZY1" s="12"/>
      <c r="AZZ1" s="12"/>
      <c r="BAA1" s="12"/>
      <c r="BAB1" s="12"/>
      <c r="BAC1" s="12"/>
      <c r="BAD1" s="12"/>
      <c r="BAE1" s="12"/>
      <c r="BAF1" s="12"/>
      <c r="BAG1" s="12"/>
      <c r="BAH1" s="12"/>
      <c r="BAI1" s="12"/>
      <c r="BAJ1" s="12"/>
      <c r="BAK1" s="12"/>
      <c r="BAL1" s="12"/>
      <c r="BAM1" s="12"/>
      <c r="BAN1" s="12"/>
      <c r="BAO1" s="12"/>
      <c r="BAP1" s="12"/>
      <c r="BAQ1" s="12"/>
      <c r="BAR1" s="12"/>
      <c r="BAS1" s="12"/>
      <c r="BAT1" s="12"/>
      <c r="BAU1" s="12"/>
      <c r="BAV1" s="12"/>
      <c r="BAW1" s="12"/>
      <c r="BAX1" s="12"/>
      <c r="BAY1" s="12"/>
      <c r="BAZ1" s="12"/>
      <c r="BBA1" s="12"/>
      <c r="BBB1" s="12"/>
      <c r="BBC1" s="12"/>
      <c r="BBD1" s="12"/>
      <c r="BBE1" s="12"/>
      <c r="BBF1" s="12"/>
      <c r="BBG1" s="12"/>
      <c r="BBH1" s="12"/>
      <c r="BBI1" s="12"/>
      <c r="BBJ1" s="12"/>
      <c r="BBK1" s="12"/>
      <c r="BBL1" s="12"/>
      <c r="BBM1" s="12"/>
      <c r="BBN1" s="12"/>
      <c r="BBO1" s="12"/>
      <c r="BBP1" s="12"/>
      <c r="BBQ1" s="12"/>
      <c r="BBR1" s="12"/>
      <c r="BBS1" s="12"/>
      <c r="BBT1" s="12"/>
      <c r="BBU1" s="12"/>
      <c r="BBV1" s="12"/>
      <c r="BBW1" s="12"/>
      <c r="BBX1" s="12"/>
      <c r="BBY1" s="12"/>
      <c r="BBZ1" s="12"/>
      <c r="BCA1" s="12"/>
      <c r="BCB1" s="12"/>
      <c r="BCC1" s="12"/>
      <c r="BCD1" s="12"/>
      <c r="BCE1" s="12"/>
      <c r="BCF1" s="12"/>
      <c r="BCG1" s="12"/>
      <c r="BCH1" s="12"/>
      <c r="BCI1" s="12"/>
      <c r="BCJ1" s="12"/>
      <c r="BCK1" s="12"/>
      <c r="BCL1" s="12"/>
      <c r="BCM1" s="12"/>
      <c r="BCN1" s="12"/>
      <c r="BCO1" s="12"/>
      <c r="BCP1" s="12"/>
      <c r="BCQ1" s="12"/>
      <c r="BCR1" s="12"/>
      <c r="BCS1" s="12"/>
      <c r="BCT1" s="12"/>
      <c r="BCU1" s="12"/>
      <c r="BCV1" s="12"/>
      <c r="BCW1" s="12"/>
      <c r="BCX1" s="12"/>
      <c r="BCY1" s="12"/>
      <c r="BCZ1" s="12"/>
      <c r="BDA1" s="12"/>
      <c r="BDB1" s="12"/>
      <c r="BDC1" s="12"/>
      <c r="BDD1" s="12"/>
      <c r="BDE1" s="12"/>
      <c r="BDF1" s="12"/>
      <c r="BDG1" s="12"/>
      <c r="BDH1" s="12"/>
      <c r="BDI1" s="12"/>
      <c r="BDJ1" s="12"/>
      <c r="BDK1" s="12"/>
      <c r="BDL1" s="12"/>
      <c r="BDM1" s="12"/>
      <c r="BDN1" s="12"/>
      <c r="BDO1" s="12"/>
      <c r="BDP1" s="12"/>
      <c r="BDQ1" s="12"/>
      <c r="BDR1" s="12"/>
      <c r="BDS1" s="12"/>
      <c r="BDT1" s="12"/>
      <c r="BDU1" s="12"/>
      <c r="BDV1" s="12"/>
      <c r="BDW1" s="12"/>
      <c r="BDX1" s="12"/>
      <c r="BDY1" s="12"/>
      <c r="BDZ1" s="12"/>
      <c r="BEA1" s="12"/>
      <c r="BEB1" s="12"/>
      <c r="BEC1" s="12"/>
      <c r="BED1" s="12"/>
      <c r="BEE1" s="12"/>
      <c r="BEF1" s="12"/>
      <c r="BEG1" s="12"/>
      <c r="BEH1" s="12"/>
      <c r="BEI1" s="12"/>
      <c r="BEJ1" s="12"/>
      <c r="BEK1" s="12"/>
      <c r="BEL1" s="12"/>
      <c r="BEM1" s="12"/>
      <c r="BEN1" s="12"/>
      <c r="BEO1" s="12"/>
      <c r="BEP1" s="12"/>
      <c r="BEQ1" s="12"/>
      <c r="BER1" s="12"/>
      <c r="BES1" s="12"/>
      <c r="BET1" s="12"/>
      <c r="BEU1" s="12"/>
      <c r="BEV1" s="12"/>
      <c r="BEW1" s="12"/>
      <c r="BEX1" s="12"/>
      <c r="BEY1" s="12"/>
      <c r="BEZ1" s="12"/>
      <c r="BFA1" s="12"/>
      <c r="BFB1" s="12"/>
      <c r="BFC1" s="12"/>
      <c r="BFD1" s="12"/>
      <c r="BFE1" s="12"/>
      <c r="BFF1" s="12"/>
      <c r="BFG1" s="12"/>
      <c r="BFH1" s="12"/>
      <c r="BFI1" s="12"/>
      <c r="BFJ1" s="12"/>
      <c r="BFK1" s="12"/>
      <c r="BFL1" s="12"/>
      <c r="BFM1" s="12"/>
      <c r="BFN1" s="12"/>
      <c r="BFO1" s="12"/>
      <c r="BFP1" s="12"/>
      <c r="BFQ1" s="12"/>
      <c r="BFR1" s="12"/>
      <c r="BFS1" s="12"/>
      <c r="BFT1" s="12"/>
      <c r="BFU1" s="12"/>
      <c r="BFV1" s="12"/>
      <c r="BFW1" s="12"/>
      <c r="BFX1" s="12"/>
      <c r="BFY1" s="12"/>
      <c r="BFZ1" s="12"/>
      <c r="BGA1" s="12"/>
      <c r="BGB1" s="12"/>
      <c r="BGC1" s="12"/>
      <c r="BGD1" s="12"/>
      <c r="BGE1" s="12"/>
      <c r="BGF1" s="12"/>
      <c r="BGG1" s="12"/>
      <c r="BGH1" s="12"/>
      <c r="BGI1" s="12"/>
      <c r="BGJ1" s="12"/>
      <c r="BGK1" s="12"/>
      <c r="BGL1" s="12"/>
      <c r="BGM1" s="12"/>
      <c r="BGN1" s="12"/>
      <c r="BGO1" s="12"/>
      <c r="BGP1" s="12"/>
      <c r="BGQ1" s="12"/>
      <c r="BGR1" s="12"/>
      <c r="BGS1" s="12"/>
      <c r="BGT1" s="12"/>
      <c r="BGU1" s="12"/>
      <c r="BGV1" s="12"/>
      <c r="BGW1" s="12"/>
      <c r="BGX1" s="12"/>
      <c r="BGY1" s="12"/>
      <c r="BGZ1" s="12"/>
      <c r="BHA1" s="12"/>
      <c r="BHB1" s="12"/>
      <c r="BHC1" s="12"/>
      <c r="BHD1" s="12"/>
      <c r="BHE1" s="12"/>
      <c r="BHF1" s="12"/>
      <c r="BHG1" s="12"/>
      <c r="BHH1" s="12"/>
      <c r="BHI1" s="12"/>
      <c r="BHJ1" s="12"/>
      <c r="BHK1" s="12"/>
      <c r="BHL1" s="12"/>
      <c r="BHM1" s="12"/>
      <c r="BHN1" s="12"/>
      <c r="BHO1" s="12"/>
      <c r="BHP1" s="12"/>
      <c r="BHQ1" s="12"/>
      <c r="BHR1" s="12"/>
      <c r="BHS1" s="12"/>
      <c r="BHT1" s="12"/>
      <c r="BHU1" s="12"/>
      <c r="BHV1" s="12"/>
      <c r="BHW1" s="12"/>
      <c r="BHX1" s="12"/>
      <c r="BHY1" s="12"/>
      <c r="BHZ1" s="12"/>
      <c r="BIA1" s="12"/>
      <c r="BIB1" s="12"/>
      <c r="BIC1" s="12"/>
      <c r="BID1" s="12"/>
      <c r="BIE1" s="12"/>
      <c r="BIF1" s="12"/>
      <c r="BIG1" s="12"/>
      <c r="BIH1" s="12"/>
      <c r="BII1" s="12"/>
      <c r="BIJ1" s="12"/>
      <c r="BIK1" s="12"/>
      <c r="BIL1" s="12"/>
      <c r="BIM1" s="12"/>
      <c r="BIN1" s="12"/>
      <c r="BIO1" s="12"/>
      <c r="BIP1" s="12"/>
      <c r="BIQ1" s="12"/>
      <c r="BIR1" s="12"/>
      <c r="BIS1" s="12"/>
      <c r="BIT1" s="12"/>
      <c r="BIU1" s="12"/>
      <c r="BIV1" s="12"/>
      <c r="BIW1" s="12"/>
      <c r="BIX1" s="12"/>
      <c r="BIY1" s="12"/>
      <c r="BIZ1" s="12"/>
      <c r="BJA1" s="12"/>
      <c r="BJB1" s="12"/>
      <c r="BJC1" s="12"/>
      <c r="BJD1" s="12"/>
      <c r="BJE1" s="12"/>
      <c r="BJF1" s="12"/>
      <c r="BJG1" s="12"/>
      <c r="BJH1" s="12"/>
      <c r="BJI1" s="12"/>
      <c r="BJJ1" s="12"/>
      <c r="BJK1" s="12"/>
      <c r="BJL1" s="12"/>
      <c r="BJM1" s="12"/>
      <c r="BJN1" s="12"/>
      <c r="BJO1" s="12"/>
      <c r="BJP1" s="12"/>
      <c r="BJQ1" s="12"/>
      <c r="BJR1" s="12"/>
      <c r="BJS1" s="12"/>
      <c r="BJT1" s="12"/>
      <c r="BJU1" s="12"/>
      <c r="BJV1" s="12"/>
      <c r="BJW1" s="12"/>
      <c r="BJX1" s="12"/>
      <c r="BJY1" s="12"/>
      <c r="BJZ1" s="12"/>
      <c r="BKA1" s="12"/>
      <c r="BKB1" s="12"/>
      <c r="BKC1" s="12"/>
      <c r="BKD1" s="12"/>
      <c r="BKE1" s="12"/>
      <c r="BKF1" s="12"/>
      <c r="BKG1" s="12"/>
      <c r="BKH1" s="12"/>
      <c r="BKI1" s="12"/>
      <c r="BKJ1" s="12"/>
      <c r="BKK1" s="12"/>
      <c r="BKL1" s="12"/>
      <c r="BKM1" s="12"/>
      <c r="BKN1" s="12"/>
      <c r="BKO1" s="12"/>
      <c r="BKP1" s="12"/>
      <c r="BKQ1" s="12"/>
      <c r="BKR1" s="12"/>
      <c r="BKS1" s="12"/>
      <c r="BKT1" s="12"/>
      <c r="BKU1" s="12"/>
      <c r="BKV1" s="12"/>
      <c r="BKW1" s="12"/>
      <c r="BKX1" s="12"/>
      <c r="BKY1" s="12"/>
      <c r="BKZ1" s="12"/>
      <c r="BLA1" s="12"/>
      <c r="BLB1" s="12"/>
      <c r="BLC1" s="12"/>
      <c r="BLD1" s="12"/>
      <c r="BLE1" s="12"/>
      <c r="BLF1" s="12"/>
      <c r="BLG1" s="12"/>
      <c r="BLH1" s="12"/>
      <c r="BLI1" s="12"/>
      <c r="BLJ1" s="12"/>
      <c r="BLK1" s="12"/>
      <c r="BLL1" s="12"/>
      <c r="BLM1" s="12"/>
      <c r="BLN1" s="12"/>
      <c r="BLO1" s="12"/>
      <c r="BLP1" s="12"/>
      <c r="BLQ1" s="12"/>
      <c r="BLR1" s="12"/>
      <c r="BLS1" s="12"/>
      <c r="BLT1" s="12"/>
      <c r="BLU1" s="12"/>
      <c r="BLV1" s="12"/>
      <c r="BLW1" s="12"/>
      <c r="BLX1" s="12"/>
      <c r="BLY1" s="12"/>
      <c r="BLZ1" s="12"/>
      <c r="BMA1" s="12"/>
      <c r="BMB1" s="12"/>
      <c r="BMC1" s="12"/>
      <c r="BMD1" s="12"/>
      <c r="BME1" s="12"/>
      <c r="BMF1" s="12"/>
      <c r="BMG1" s="12"/>
      <c r="BMH1" s="12"/>
      <c r="BMI1" s="12"/>
      <c r="BMJ1" s="12"/>
      <c r="BMK1" s="12"/>
      <c r="BML1" s="12"/>
      <c r="BMM1" s="12"/>
      <c r="BMN1" s="12"/>
      <c r="BMO1" s="12"/>
      <c r="BMP1" s="12"/>
      <c r="BMQ1" s="12"/>
      <c r="BMR1" s="12"/>
      <c r="BMS1" s="12"/>
      <c r="BMT1" s="12"/>
      <c r="BMU1" s="12"/>
      <c r="BMV1" s="12"/>
      <c r="BMW1" s="12"/>
      <c r="BMX1" s="12"/>
      <c r="BMY1" s="12"/>
      <c r="BMZ1" s="12"/>
      <c r="BNA1" s="12"/>
      <c r="BNB1" s="12"/>
      <c r="BNC1" s="12"/>
      <c r="BND1" s="12"/>
      <c r="BNE1" s="12"/>
      <c r="BNF1" s="12"/>
      <c r="BNG1" s="12"/>
      <c r="BNH1" s="12"/>
      <c r="BNI1" s="12"/>
      <c r="BNJ1" s="12"/>
      <c r="BNK1" s="12"/>
      <c r="BNL1" s="12"/>
      <c r="BNM1" s="12"/>
      <c r="BNN1" s="12"/>
      <c r="BNO1" s="12"/>
      <c r="BNP1" s="12"/>
      <c r="BNQ1" s="12"/>
      <c r="BNR1" s="12"/>
      <c r="BNS1" s="12"/>
      <c r="BNT1" s="12"/>
      <c r="BNU1" s="12"/>
      <c r="BNV1" s="12"/>
      <c r="BNW1" s="12"/>
      <c r="BNX1" s="12"/>
      <c r="BNY1" s="12"/>
      <c r="BNZ1" s="12"/>
      <c r="BOA1" s="12"/>
      <c r="BOB1" s="12"/>
      <c r="BOC1" s="12"/>
      <c r="BOD1" s="12"/>
      <c r="BOE1" s="12"/>
      <c r="BOF1" s="12"/>
      <c r="BOG1" s="12"/>
      <c r="BOH1" s="12"/>
      <c r="BOI1" s="12"/>
      <c r="BOJ1" s="12"/>
      <c r="BOK1" s="12"/>
      <c r="BOL1" s="12"/>
      <c r="BOM1" s="12"/>
      <c r="BON1" s="12"/>
      <c r="BOO1" s="12"/>
      <c r="BOP1" s="12"/>
      <c r="BOQ1" s="12"/>
      <c r="BOR1" s="12"/>
      <c r="BOS1" s="12"/>
      <c r="BOT1" s="12"/>
      <c r="BOU1" s="12"/>
      <c r="BOV1" s="12"/>
      <c r="BOW1" s="12"/>
      <c r="BOX1" s="12"/>
      <c r="BOY1" s="12"/>
      <c r="BOZ1" s="12"/>
      <c r="BPA1" s="12"/>
      <c r="BPB1" s="12"/>
      <c r="BPC1" s="12"/>
      <c r="BPD1" s="12"/>
      <c r="BPE1" s="12"/>
      <c r="BPF1" s="12"/>
      <c r="BPG1" s="12"/>
      <c r="BPH1" s="12"/>
      <c r="BPI1" s="12"/>
      <c r="BPJ1" s="12"/>
      <c r="BPK1" s="12"/>
      <c r="BPL1" s="12"/>
      <c r="BPM1" s="12"/>
      <c r="BPN1" s="12"/>
      <c r="BPO1" s="12"/>
      <c r="BPP1" s="12"/>
      <c r="BPQ1" s="12"/>
      <c r="BPR1" s="12"/>
      <c r="BPS1" s="12"/>
      <c r="BPT1" s="12"/>
      <c r="BPU1" s="12"/>
      <c r="BPV1" s="12"/>
      <c r="BPW1" s="12"/>
      <c r="BPX1" s="12"/>
      <c r="BPY1" s="12"/>
      <c r="BPZ1" s="12"/>
      <c r="BQA1" s="12"/>
      <c r="BQB1" s="12"/>
      <c r="BQC1" s="12"/>
      <c r="BQD1" s="12"/>
      <c r="BQE1" s="12"/>
      <c r="BQF1" s="12"/>
      <c r="BQG1" s="12"/>
      <c r="BQH1" s="12"/>
      <c r="BQI1" s="12"/>
      <c r="BQJ1" s="12"/>
      <c r="BQK1" s="12"/>
      <c r="BQL1" s="12"/>
      <c r="BQM1" s="12"/>
      <c r="BQN1" s="12"/>
      <c r="BQO1" s="12"/>
      <c r="BQP1" s="12"/>
      <c r="BQQ1" s="12"/>
      <c r="BQR1" s="12"/>
      <c r="BQS1" s="12"/>
      <c r="BQT1" s="12"/>
      <c r="BQU1" s="12"/>
      <c r="BQV1" s="12"/>
      <c r="BQW1" s="12"/>
      <c r="BQX1" s="12"/>
      <c r="BQY1" s="12"/>
      <c r="BQZ1" s="12"/>
      <c r="BRA1" s="12"/>
      <c r="BRB1" s="12"/>
      <c r="BRC1" s="12"/>
      <c r="BRD1" s="12"/>
      <c r="BRE1" s="12"/>
      <c r="BRF1" s="12"/>
      <c r="BRG1" s="12"/>
      <c r="BRH1" s="12"/>
      <c r="BRI1" s="12"/>
      <c r="BRJ1" s="12"/>
      <c r="BRK1" s="12"/>
      <c r="BRL1" s="12"/>
      <c r="BRM1" s="12"/>
      <c r="BRN1" s="12"/>
      <c r="BRO1" s="12"/>
      <c r="BRP1" s="12"/>
      <c r="BRQ1" s="12"/>
      <c r="BRR1" s="12"/>
      <c r="BRS1" s="12"/>
      <c r="BRT1" s="12"/>
      <c r="BRU1" s="12"/>
      <c r="BRV1" s="12"/>
      <c r="BRW1" s="12"/>
      <c r="BRX1" s="12"/>
      <c r="BRY1" s="12"/>
      <c r="BRZ1" s="12"/>
      <c r="BSA1" s="12"/>
      <c r="BSB1" s="12"/>
      <c r="BSC1" s="12"/>
      <c r="BSD1" s="12"/>
      <c r="BSE1" s="12"/>
      <c r="BSF1" s="12"/>
      <c r="BSG1" s="12"/>
      <c r="BSH1" s="12"/>
      <c r="BSI1" s="12"/>
      <c r="BSJ1" s="12"/>
      <c r="BSK1" s="12"/>
      <c r="BSL1" s="12"/>
      <c r="BSM1" s="12"/>
      <c r="BSN1" s="12"/>
      <c r="BSO1" s="12"/>
      <c r="BSP1" s="12"/>
      <c r="BSQ1" s="12"/>
      <c r="BSR1" s="12"/>
      <c r="BSS1" s="12"/>
      <c r="BST1" s="12"/>
      <c r="BSU1" s="12"/>
      <c r="BSV1" s="12"/>
      <c r="BSW1" s="12"/>
      <c r="BSX1" s="12"/>
      <c r="BSY1" s="12"/>
      <c r="BSZ1" s="12"/>
      <c r="BTA1" s="12"/>
      <c r="BTB1" s="12"/>
      <c r="BTC1" s="12"/>
      <c r="BTD1" s="12"/>
      <c r="BTE1" s="12"/>
      <c r="BTF1" s="12"/>
      <c r="BTG1" s="12"/>
      <c r="BTH1" s="12"/>
      <c r="BTI1" s="12"/>
      <c r="BTJ1" s="12"/>
      <c r="BTK1" s="12"/>
      <c r="BTL1" s="12"/>
      <c r="BTM1" s="12"/>
      <c r="BTN1" s="12"/>
      <c r="BTO1" s="12"/>
      <c r="BTP1" s="12"/>
      <c r="BTQ1" s="12"/>
      <c r="BTR1" s="12"/>
      <c r="BTS1" s="12"/>
      <c r="BTT1" s="12"/>
      <c r="BTU1" s="12"/>
      <c r="BTV1" s="12"/>
      <c r="BTW1" s="12"/>
      <c r="BTX1" s="12"/>
      <c r="BTY1" s="12"/>
      <c r="BTZ1" s="12"/>
      <c r="BUA1" s="12"/>
      <c r="BUB1" s="12"/>
      <c r="BUC1" s="12"/>
      <c r="BUD1" s="12"/>
      <c r="BUE1" s="12"/>
      <c r="BUF1" s="12"/>
      <c r="BUG1" s="12"/>
      <c r="BUH1" s="12"/>
      <c r="BUI1" s="12"/>
      <c r="BUJ1" s="12"/>
      <c r="BUK1" s="12"/>
      <c r="BUL1" s="12"/>
      <c r="BUM1" s="12"/>
      <c r="BUN1" s="12"/>
      <c r="BUO1" s="12"/>
      <c r="BUP1" s="12"/>
      <c r="BUQ1" s="12"/>
      <c r="BUR1" s="12"/>
      <c r="BUS1" s="12"/>
      <c r="BUT1" s="12"/>
      <c r="BUU1" s="12"/>
      <c r="BUV1" s="12"/>
      <c r="BUW1" s="12"/>
      <c r="BUX1" s="12"/>
      <c r="BUY1" s="12"/>
      <c r="BUZ1" s="12"/>
      <c r="BVA1" s="12"/>
      <c r="BVB1" s="12"/>
      <c r="BVC1" s="12"/>
      <c r="BVD1" s="12"/>
      <c r="BVE1" s="12"/>
      <c r="BVF1" s="12"/>
      <c r="BVG1" s="12"/>
      <c r="BVH1" s="12"/>
      <c r="BVI1" s="12"/>
      <c r="BVJ1" s="12"/>
      <c r="BVK1" s="12"/>
      <c r="BVL1" s="12"/>
      <c r="BVM1" s="12"/>
      <c r="BVN1" s="12"/>
      <c r="BVO1" s="12"/>
      <c r="BVP1" s="12"/>
      <c r="BVQ1" s="12"/>
      <c r="BVR1" s="12"/>
      <c r="BVS1" s="12"/>
      <c r="BVT1" s="12"/>
      <c r="BVU1" s="12"/>
      <c r="BVV1" s="12"/>
      <c r="BVW1" s="12"/>
      <c r="BVX1" s="12"/>
      <c r="BVY1" s="12"/>
      <c r="BVZ1" s="12"/>
      <c r="BWA1" s="12"/>
      <c r="BWB1" s="12"/>
      <c r="BWC1" s="12"/>
      <c r="BWD1" s="12"/>
      <c r="BWE1" s="12"/>
      <c r="BWF1" s="12"/>
      <c r="BWG1" s="12"/>
      <c r="BWH1" s="12"/>
      <c r="BWI1" s="12"/>
      <c r="BWJ1" s="12"/>
      <c r="BWK1" s="12"/>
      <c r="BWL1" s="12"/>
      <c r="BWM1" s="12"/>
      <c r="BWN1" s="12"/>
      <c r="BWO1" s="12"/>
      <c r="BWP1" s="12"/>
      <c r="BWQ1" s="12"/>
      <c r="BWR1" s="12"/>
      <c r="BWS1" s="12"/>
      <c r="BWT1" s="12"/>
      <c r="BWU1" s="12"/>
      <c r="BWV1" s="12"/>
      <c r="BWW1" s="12"/>
      <c r="BWX1" s="12"/>
      <c r="BWY1" s="12"/>
      <c r="BWZ1" s="12"/>
      <c r="BXA1" s="12"/>
      <c r="BXB1" s="12"/>
      <c r="BXC1" s="12"/>
      <c r="BXD1" s="12"/>
      <c r="BXE1" s="12"/>
      <c r="BXF1" s="12"/>
      <c r="BXG1" s="12"/>
      <c r="BXH1" s="12"/>
      <c r="BXI1" s="12"/>
      <c r="BXJ1" s="12"/>
      <c r="BXK1" s="12"/>
      <c r="BXL1" s="12"/>
      <c r="BXM1" s="12"/>
      <c r="BXN1" s="12"/>
      <c r="BXO1" s="12"/>
      <c r="BXP1" s="12"/>
      <c r="BXQ1" s="12"/>
      <c r="BXR1" s="12"/>
      <c r="BXS1" s="12"/>
      <c r="BXT1" s="12"/>
      <c r="BXU1" s="12"/>
      <c r="BXV1" s="12"/>
      <c r="BXW1" s="12"/>
      <c r="BXX1" s="12"/>
      <c r="BXY1" s="12"/>
      <c r="BXZ1" s="12"/>
      <c r="BYA1" s="12"/>
      <c r="BYB1" s="12"/>
      <c r="BYC1" s="12"/>
      <c r="BYD1" s="12"/>
      <c r="BYE1" s="12"/>
      <c r="BYF1" s="12"/>
      <c r="BYG1" s="12"/>
      <c r="BYH1" s="12"/>
      <c r="BYI1" s="12"/>
      <c r="BYJ1" s="12"/>
      <c r="BYK1" s="12"/>
      <c r="BYL1" s="12"/>
      <c r="BYM1" s="12"/>
      <c r="BYN1" s="12"/>
      <c r="BYO1" s="12"/>
      <c r="BYP1" s="12"/>
      <c r="BYQ1" s="12"/>
      <c r="BYR1" s="12"/>
      <c r="BYS1" s="12"/>
      <c r="BYT1" s="12"/>
      <c r="BYU1" s="12"/>
      <c r="BYV1" s="12"/>
      <c r="BYW1" s="12"/>
      <c r="BYX1" s="12"/>
      <c r="BYY1" s="12"/>
      <c r="BYZ1" s="12"/>
      <c r="BZA1" s="12"/>
      <c r="BZB1" s="12"/>
      <c r="BZC1" s="12"/>
      <c r="BZD1" s="12"/>
      <c r="BZE1" s="12"/>
      <c r="BZF1" s="12"/>
      <c r="BZG1" s="12"/>
      <c r="BZH1" s="12"/>
      <c r="BZI1" s="12"/>
      <c r="BZJ1" s="12"/>
      <c r="BZK1" s="12"/>
      <c r="BZL1" s="12"/>
      <c r="BZM1" s="12"/>
      <c r="BZN1" s="12"/>
      <c r="BZO1" s="12"/>
      <c r="BZP1" s="12"/>
      <c r="BZQ1" s="12"/>
      <c r="BZR1" s="12"/>
      <c r="BZS1" s="12"/>
      <c r="BZT1" s="12"/>
      <c r="BZU1" s="12"/>
      <c r="BZV1" s="12"/>
      <c r="BZW1" s="12"/>
      <c r="BZX1" s="12"/>
      <c r="BZY1" s="12"/>
      <c r="BZZ1" s="12"/>
      <c r="CAA1" s="12"/>
      <c r="CAB1" s="12"/>
      <c r="CAC1" s="12"/>
      <c r="CAD1" s="12"/>
      <c r="CAE1" s="12"/>
      <c r="CAF1" s="12"/>
      <c r="CAG1" s="12"/>
      <c r="CAH1" s="12"/>
      <c r="CAI1" s="12"/>
      <c r="CAJ1" s="12"/>
      <c r="CAK1" s="12"/>
      <c r="CAL1" s="12"/>
      <c r="CAM1" s="12"/>
      <c r="CAN1" s="12"/>
      <c r="CAO1" s="12"/>
      <c r="CAP1" s="12"/>
      <c r="CAQ1" s="12"/>
      <c r="CAR1" s="12"/>
      <c r="CAS1" s="12"/>
      <c r="CAT1" s="12"/>
      <c r="CAU1" s="12"/>
      <c r="CAV1" s="12"/>
      <c r="CAW1" s="12"/>
      <c r="CAX1" s="12"/>
      <c r="CAY1" s="12"/>
      <c r="CAZ1" s="12"/>
      <c r="CBA1" s="12"/>
      <c r="CBB1" s="12"/>
      <c r="CBC1" s="12"/>
      <c r="CBD1" s="12"/>
      <c r="CBE1" s="12"/>
      <c r="CBF1" s="12"/>
      <c r="CBG1" s="12"/>
      <c r="CBH1" s="12"/>
      <c r="CBI1" s="12"/>
      <c r="CBJ1" s="12"/>
      <c r="CBK1" s="12"/>
      <c r="CBL1" s="12"/>
      <c r="CBM1" s="12"/>
      <c r="CBN1" s="12"/>
      <c r="CBO1" s="12"/>
      <c r="CBP1" s="12"/>
      <c r="CBQ1" s="12"/>
      <c r="CBR1" s="12"/>
      <c r="CBS1" s="12"/>
      <c r="CBT1" s="12"/>
      <c r="CBU1" s="12"/>
      <c r="CBV1" s="12"/>
      <c r="CBW1" s="12"/>
      <c r="CBX1" s="12"/>
      <c r="CBY1" s="12"/>
      <c r="CBZ1" s="12"/>
      <c r="CCA1" s="12"/>
      <c r="CCB1" s="12"/>
      <c r="CCC1" s="12"/>
      <c r="CCD1" s="12"/>
      <c r="CCE1" s="12"/>
      <c r="CCF1" s="12"/>
      <c r="CCG1" s="12"/>
      <c r="CCH1" s="12"/>
      <c r="CCI1" s="12"/>
      <c r="CCJ1" s="12"/>
      <c r="CCK1" s="12"/>
      <c r="CCL1" s="12"/>
      <c r="CCM1" s="12"/>
      <c r="CCN1" s="12"/>
      <c r="CCO1" s="12"/>
      <c r="CCP1" s="12"/>
      <c r="CCQ1" s="12"/>
      <c r="CCR1" s="12"/>
      <c r="CCS1" s="12"/>
      <c r="CCT1" s="12"/>
      <c r="CCU1" s="12"/>
      <c r="CCV1" s="12"/>
      <c r="CCW1" s="12"/>
      <c r="CCX1" s="12"/>
      <c r="CCY1" s="12"/>
      <c r="CCZ1" s="12"/>
      <c r="CDA1" s="12"/>
      <c r="CDB1" s="12"/>
      <c r="CDC1" s="12"/>
      <c r="CDD1" s="12"/>
      <c r="CDE1" s="12"/>
      <c r="CDF1" s="12"/>
      <c r="CDG1" s="12"/>
      <c r="CDH1" s="12"/>
      <c r="CDI1" s="12"/>
      <c r="CDJ1" s="12"/>
      <c r="CDK1" s="12"/>
      <c r="CDL1" s="12"/>
      <c r="CDM1" s="12"/>
      <c r="CDN1" s="12"/>
      <c r="CDO1" s="12"/>
      <c r="CDP1" s="12"/>
      <c r="CDQ1" s="12"/>
      <c r="CDR1" s="12"/>
      <c r="CDS1" s="12"/>
      <c r="CDT1" s="12"/>
      <c r="CDU1" s="12"/>
      <c r="CDV1" s="12"/>
      <c r="CDW1" s="12"/>
      <c r="CDX1" s="12"/>
      <c r="CDY1" s="12"/>
      <c r="CDZ1" s="12"/>
      <c r="CEA1" s="12"/>
      <c r="CEB1" s="12"/>
      <c r="CEC1" s="12"/>
      <c r="CED1" s="12"/>
      <c r="CEE1" s="12"/>
      <c r="CEF1" s="12"/>
      <c r="CEG1" s="12"/>
      <c r="CEH1" s="12"/>
      <c r="CEI1" s="12"/>
      <c r="CEJ1" s="12"/>
      <c r="CEK1" s="12"/>
      <c r="CEL1" s="12"/>
      <c r="CEM1" s="12"/>
      <c r="CEN1" s="12"/>
      <c r="CEO1" s="12"/>
      <c r="CEP1" s="12"/>
      <c r="CEQ1" s="12"/>
      <c r="CER1" s="12"/>
      <c r="CES1" s="12"/>
      <c r="CET1" s="12"/>
      <c r="CEU1" s="12"/>
      <c r="CEV1" s="12"/>
      <c r="CEW1" s="12"/>
      <c r="CEX1" s="12"/>
      <c r="CEY1" s="12"/>
      <c r="CEZ1" s="12"/>
      <c r="CFA1" s="12"/>
      <c r="CFB1" s="12"/>
      <c r="CFC1" s="12"/>
      <c r="CFD1" s="12"/>
      <c r="CFE1" s="12"/>
      <c r="CFF1" s="12"/>
      <c r="CFG1" s="12"/>
      <c r="CFH1" s="12"/>
      <c r="CFI1" s="12"/>
      <c r="CFJ1" s="12"/>
      <c r="CFK1" s="12"/>
      <c r="CFL1" s="12"/>
      <c r="CFM1" s="12"/>
      <c r="CFN1" s="12"/>
      <c r="CFO1" s="12"/>
      <c r="CFP1" s="12"/>
      <c r="CFQ1" s="12"/>
      <c r="CFR1" s="12"/>
      <c r="CFS1" s="12"/>
      <c r="CFT1" s="12"/>
      <c r="CFU1" s="12"/>
      <c r="CFV1" s="12"/>
      <c r="CFW1" s="12"/>
      <c r="CFX1" s="12"/>
      <c r="CFY1" s="12"/>
      <c r="CFZ1" s="12"/>
      <c r="CGA1" s="12"/>
      <c r="CGB1" s="12"/>
      <c r="CGC1" s="12"/>
      <c r="CGD1" s="12"/>
      <c r="CGE1" s="12"/>
      <c r="CGF1" s="12"/>
      <c r="CGG1" s="12"/>
      <c r="CGH1" s="12"/>
      <c r="CGI1" s="12"/>
      <c r="CGJ1" s="12"/>
      <c r="CGK1" s="12"/>
      <c r="CGL1" s="12"/>
      <c r="CGM1" s="12"/>
      <c r="CGN1" s="12"/>
      <c r="CGO1" s="12"/>
      <c r="CGP1" s="12"/>
      <c r="CGQ1" s="12"/>
      <c r="CGR1" s="12"/>
      <c r="CGS1" s="12"/>
      <c r="CGT1" s="12"/>
      <c r="CGU1" s="12"/>
      <c r="CGV1" s="12"/>
      <c r="CGW1" s="12"/>
      <c r="CGX1" s="12"/>
      <c r="CGY1" s="12"/>
      <c r="CGZ1" s="12"/>
      <c r="CHA1" s="12"/>
      <c r="CHB1" s="12"/>
      <c r="CHC1" s="12"/>
      <c r="CHD1" s="12"/>
      <c r="CHE1" s="12"/>
      <c r="CHF1" s="12"/>
      <c r="CHG1" s="12"/>
      <c r="CHH1" s="12"/>
      <c r="CHI1" s="12"/>
      <c r="CHJ1" s="12"/>
      <c r="CHK1" s="12"/>
      <c r="CHL1" s="12"/>
      <c r="CHM1" s="12"/>
      <c r="CHN1" s="12"/>
      <c r="CHO1" s="12"/>
      <c r="CHP1" s="12"/>
      <c r="CHQ1" s="12"/>
      <c r="CHR1" s="12"/>
      <c r="CHS1" s="12"/>
      <c r="CHT1" s="12"/>
      <c r="CHU1" s="12"/>
      <c r="CHV1" s="12"/>
      <c r="CHW1" s="12"/>
      <c r="CHX1" s="12"/>
      <c r="CHY1" s="12"/>
      <c r="CHZ1" s="12"/>
      <c r="CIA1" s="12"/>
      <c r="CIB1" s="12"/>
      <c r="CIC1" s="12"/>
      <c r="CID1" s="12"/>
      <c r="CIE1" s="12"/>
      <c r="CIF1" s="12"/>
      <c r="CIG1" s="12"/>
      <c r="CIH1" s="12"/>
      <c r="CII1" s="12"/>
      <c r="CIJ1" s="12"/>
      <c r="CIK1" s="12"/>
      <c r="CIL1" s="12"/>
      <c r="CIM1" s="12"/>
      <c r="CIN1" s="12"/>
      <c r="CIO1" s="12"/>
      <c r="CIP1" s="12"/>
      <c r="CIQ1" s="12"/>
      <c r="CIR1" s="12"/>
      <c r="CIS1" s="12"/>
      <c r="CIT1" s="12"/>
      <c r="CIU1" s="12"/>
      <c r="CIV1" s="12"/>
      <c r="CIW1" s="12"/>
      <c r="CIX1" s="12"/>
      <c r="CIY1" s="12"/>
      <c r="CIZ1" s="12"/>
      <c r="CJA1" s="12"/>
      <c r="CJB1" s="12"/>
      <c r="CJC1" s="12"/>
      <c r="CJD1" s="12"/>
      <c r="CJE1" s="12"/>
      <c r="CJF1" s="12"/>
      <c r="CJG1" s="12"/>
      <c r="CJH1" s="12"/>
      <c r="CJI1" s="12"/>
      <c r="CJJ1" s="12"/>
      <c r="CJK1" s="12"/>
      <c r="CJL1" s="12"/>
      <c r="CJM1" s="12"/>
      <c r="CJN1" s="12"/>
      <c r="CJO1" s="12"/>
      <c r="CJP1" s="12"/>
      <c r="CJQ1" s="12"/>
      <c r="CJR1" s="12"/>
      <c r="CJS1" s="12"/>
      <c r="CJT1" s="12"/>
      <c r="CJU1" s="12"/>
      <c r="CJV1" s="12"/>
      <c r="CJW1" s="12"/>
      <c r="CJX1" s="12"/>
      <c r="CJY1" s="12"/>
      <c r="CJZ1" s="12"/>
      <c r="CKA1" s="12"/>
      <c r="CKB1" s="12"/>
      <c r="CKC1" s="12"/>
      <c r="CKD1" s="12"/>
      <c r="CKE1" s="12"/>
      <c r="CKF1" s="12"/>
      <c r="CKG1" s="12"/>
      <c r="CKH1" s="12"/>
      <c r="CKI1" s="12"/>
      <c r="CKJ1" s="12"/>
      <c r="CKK1" s="12"/>
      <c r="CKL1" s="12"/>
      <c r="CKM1" s="12"/>
      <c r="CKN1" s="12"/>
      <c r="CKO1" s="12"/>
      <c r="CKP1" s="12"/>
      <c r="CKQ1" s="12"/>
      <c r="CKR1" s="12"/>
      <c r="CKS1" s="12"/>
      <c r="CKT1" s="12"/>
      <c r="CKU1" s="12"/>
      <c r="CKV1" s="12"/>
      <c r="CKW1" s="12"/>
      <c r="CKX1" s="12"/>
      <c r="CKY1" s="12"/>
      <c r="CKZ1" s="12"/>
      <c r="CLA1" s="12"/>
      <c r="CLB1" s="12"/>
      <c r="CLC1" s="12"/>
      <c r="CLD1" s="12"/>
      <c r="CLE1" s="12"/>
      <c r="CLF1" s="12"/>
      <c r="CLG1" s="12"/>
      <c r="CLH1" s="12"/>
      <c r="CLI1" s="12"/>
      <c r="CLJ1" s="12"/>
      <c r="CLK1" s="12"/>
      <c r="CLL1" s="12"/>
      <c r="CLM1" s="12"/>
      <c r="CLN1" s="12"/>
      <c r="CLO1" s="12"/>
      <c r="CLP1" s="12"/>
      <c r="CLQ1" s="12"/>
      <c r="CLR1" s="12"/>
      <c r="CLS1" s="12"/>
      <c r="CLT1" s="12"/>
      <c r="CLU1" s="12"/>
      <c r="CLV1" s="12"/>
      <c r="CLW1" s="12"/>
      <c r="CLX1" s="12"/>
      <c r="CLY1" s="12"/>
      <c r="CLZ1" s="12"/>
      <c r="CMA1" s="12"/>
      <c r="CMB1" s="12"/>
      <c r="CMC1" s="12"/>
      <c r="CMD1" s="12"/>
      <c r="CME1" s="12"/>
      <c r="CMF1" s="12"/>
      <c r="CMG1" s="12"/>
      <c r="CMH1" s="12"/>
      <c r="CMI1" s="12"/>
      <c r="CMJ1" s="12"/>
      <c r="CMK1" s="12"/>
      <c r="CML1" s="12"/>
      <c r="CMM1" s="12"/>
      <c r="CMN1" s="12"/>
      <c r="CMO1" s="12"/>
      <c r="CMP1" s="12"/>
      <c r="CMQ1" s="12"/>
      <c r="CMR1" s="12"/>
      <c r="CMS1" s="12"/>
      <c r="CMT1" s="12"/>
      <c r="CMU1" s="12"/>
      <c r="CMV1" s="12"/>
      <c r="CMW1" s="12"/>
      <c r="CMX1" s="12"/>
      <c r="CMY1" s="12"/>
      <c r="CMZ1" s="12"/>
      <c r="CNA1" s="12"/>
      <c r="CNB1" s="12"/>
      <c r="CNC1" s="12"/>
      <c r="CND1" s="12"/>
      <c r="CNE1" s="12"/>
      <c r="CNF1" s="12"/>
      <c r="CNG1" s="12"/>
      <c r="CNH1" s="12"/>
      <c r="CNI1" s="12"/>
      <c r="CNJ1" s="12"/>
      <c r="CNK1" s="12"/>
      <c r="CNL1" s="12"/>
      <c r="CNM1" s="12"/>
      <c r="CNN1" s="12"/>
      <c r="CNO1" s="12"/>
      <c r="CNP1" s="12"/>
      <c r="CNQ1" s="12"/>
      <c r="CNR1" s="12"/>
      <c r="CNS1" s="12"/>
      <c r="CNT1" s="12"/>
      <c r="CNU1" s="12"/>
      <c r="CNV1" s="12"/>
      <c r="CNW1" s="12"/>
      <c r="CNX1" s="12"/>
      <c r="CNY1" s="12"/>
      <c r="CNZ1" s="12"/>
      <c r="COA1" s="12"/>
      <c r="COB1" s="12"/>
      <c r="COC1" s="12"/>
      <c r="COD1" s="12"/>
      <c r="COE1" s="12"/>
      <c r="COF1" s="12"/>
      <c r="COG1" s="12"/>
      <c r="COH1" s="12"/>
      <c r="COI1" s="12"/>
      <c r="COJ1" s="12"/>
      <c r="COK1" s="12"/>
      <c r="COL1" s="12"/>
      <c r="COM1" s="12"/>
      <c r="CON1" s="12"/>
      <c r="COO1" s="12"/>
      <c r="COP1" s="12"/>
      <c r="COQ1" s="12"/>
      <c r="COR1" s="12"/>
      <c r="COS1" s="12"/>
      <c r="COT1" s="12"/>
      <c r="COU1" s="12"/>
      <c r="COV1" s="12"/>
      <c r="COW1" s="12"/>
      <c r="COX1" s="12"/>
      <c r="COY1" s="12"/>
      <c r="COZ1" s="12"/>
      <c r="CPA1" s="12"/>
      <c r="CPB1" s="12"/>
      <c r="CPC1" s="12"/>
      <c r="CPD1" s="12"/>
      <c r="CPE1" s="12"/>
      <c r="CPF1" s="12"/>
      <c r="CPG1" s="12"/>
      <c r="CPH1" s="12"/>
      <c r="CPI1" s="12"/>
      <c r="CPJ1" s="12"/>
      <c r="CPK1" s="12"/>
      <c r="CPL1" s="12"/>
      <c r="CPM1" s="12"/>
      <c r="CPN1" s="12"/>
      <c r="CPO1" s="12"/>
      <c r="CPP1" s="12"/>
      <c r="CPQ1" s="12"/>
      <c r="CPR1" s="12"/>
      <c r="CPS1" s="12"/>
      <c r="CPT1" s="12"/>
      <c r="CPU1" s="12"/>
      <c r="CPV1" s="12"/>
      <c r="CPW1" s="12"/>
      <c r="CPX1" s="12"/>
      <c r="CPY1" s="12"/>
      <c r="CPZ1" s="12"/>
      <c r="CQA1" s="12"/>
      <c r="CQB1" s="12"/>
      <c r="CQC1" s="12"/>
      <c r="CQD1" s="12"/>
      <c r="CQE1" s="12"/>
      <c r="CQF1" s="12"/>
      <c r="CQG1" s="12"/>
      <c r="CQH1" s="12"/>
      <c r="CQI1" s="12"/>
      <c r="CQJ1" s="12"/>
      <c r="CQK1" s="12"/>
      <c r="CQL1" s="12"/>
      <c r="CQM1" s="12"/>
      <c r="CQN1" s="12"/>
      <c r="CQO1" s="12"/>
      <c r="CQP1" s="12"/>
      <c r="CQQ1" s="12"/>
      <c r="CQR1" s="12"/>
      <c r="CQS1" s="12"/>
      <c r="CQT1" s="12"/>
      <c r="CQU1" s="12"/>
      <c r="CQV1" s="12"/>
      <c r="CQW1" s="12"/>
      <c r="CQX1" s="12"/>
      <c r="CQY1" s="12"/>
      <c r="CQZ1" s="12"/>
      <c r="CRA1" s="12"/>
      <c r="CRB1" s="12"/>
      <c r="CRC1" s="12"/>
      <c r="CRD1" s="12"/>
      <c r="CRE1" s="12"/>
      <c r="CRF1" s="12"/>
      <c r="CRG1" s="12"/>
      <c r="CRH1" s="12"/>
      <c r="CRI1" s="12"/>
      <c r="CRJ1" s="12"/>
      <c r="CRK1" s="12"/>
      <c r="CRL1" s="12"/>
      <c r="CRM1" s="12"/>
      <c r="CRN1" s="12"/>
      <c r="CRO1" s="12"/>
      <c r="CRP1" s="12"/>
      <c r="CRQ1" s="12"/>
      <c r="CRR1" s="12"/>
      <c r="CRS1" s="12"/>
      <c r="CRT1" s="12"/>
      <c r="CRU1" s="12"/>
      <c r="CRV1" s="12"/>
      <c r="CRW1" s="12"/>
      <c r="CRX1" s="12"/>
      <c r="CRY1" s="12"/>
      <c r="CRZ1" s="12"/>
      <c r="CSA1" s="12"/>
      <c r="CSB1" s="12"/>
      <c r="CSC1" s="12"/>
      <c r="CSD1" s="12"/>
      <c r="CSE1" s="12"/>
      <c r="CSF1" s="12"/>
      <c r="CSG1" s="12"/>
      <c r="CSH1" s="12"/>
      <c r="CSI1" s="12"/>
      <c r="CSJ1" s="12"/>
      <c r="CSK1" s="12"/>
      <c r="CSL1" s="12"/>
      <c r="CSM1" s="12"/>
      <c r="CSN1" s="12"/>
      <c r="CSO1" s="12"/>
      <c r="CSP1" s="12"/>
      <c r="CSQ1" s="12"/>
      <c r="CSR1" s="12"/>
      <c r="CSS1" s="12"/>
      <c r="CST1" s="12"/>
      <c r="CSU1" s="12"/>
      <c r="CSV1" s="12"/>
      <c r="CSW1" s="12"/>
      <c r="CSX1" s="12"/>
      <c r="CSY1" s="12"/>
      <c r="CSZ1" s="12"/>
      <c r="CTA1" s="12"/>
      <c r="CTB1" s="12"/>
      <c r="CTC1" s="12"/>
      <c r="CTD1" s="12"/>
      <c r="CTE1" s="12"/>
      <c r="CTF1" s="12"/>
      <c r="CTG1" s="12"/>
      <c r="CTH1" s="12"/>
      <c r="CTI1" s="12"/>
      <c r="CTJ1" s="12"/>
      <c r="CTK1" s="12"/>
      <c r="CTL1" s="12"/>
      <c r="CTM1" s="12"/>
      <c r="CTN1" s="12"/>
      <c r="CTO1" s="12"/>
      <c r="CTP1" s="12"/>
      <c r="CTQ1" s="12"/>
      <c r="CTR1" s="12"/>
      <c r="CTS1" s="12"/>
      <c r="CTT1" s="12"/>
      <c r="CTU1" s="12"/>
      <c r="CTV1" s="12"/>
      <c r="CTW1" s="12"/>
      <c r="CTX1" s="12"/>
      <c r="CTY1" s="12"/>
      <c r="CTZ1" s="12"/>
      <c r="CUA1" s="12"/>
      <c r="CUB1" s="12"/>
      <c r="CUC1" s="12"/>
      <c r="CUD1" s="12"/>
      <c r="CUE1" s="12"/>
      <c r="CUF1" s="12"/>
      <c r="CUG1" s="12"/>
      <c r="CUH1" s="12"/>
      <c r="CUI1" s="12"/>
      <c r="CUJ1" s="12"/>
      <c r="CUK1" s="12"/>
      <c r="CUL1" s="12"/>
      <c r="CUM1" s="12"/>
      <c r="CUN1" s="12"/>
      <c r="CUO1" s="12"/>
      <c r="CUP1" s="12"/>
      <c r="CUQ1" s="12"/>
      <c r="CUR1" s="12"/>
      <c r="CUS1" s="12"/>
      <c r="CUT1" s="12"/>
      <c r="CUU1" s="12"/>
      <c r="CUV1" s="12"/>
      <c r="CUW1" s="12"/>
      <c r="CUX1" s="12"/>
      <c r="CUY1" s="12"/>
      <c r="CUZ1" s="12"/>
      <c r="CVA1" s="12"/>
      <c r="CVB1" s="12"/>
      <c r="CVC1" s="12"/>
      <c r="CVD1" s="12"/>
      <c r="CVE1" s="12"/>
      <c r="CVF1" s="12"/>
      <c r="CVG1" s="12"/>
      <c r="CVH1" s="12"/>
      <c r="CVI1" s="12"/>
      <c r="CVJ1" s="12"/>
      <c r="CVK1" s="12"/>
      <c r="CVL1" s="12"/>
      <c r="CVM1" s="12"/>
      <c r="CVN1" s="12"/>
      <c r="CVO1" s="12"/>
      <c r="CVP1" s="12"/>
      <c r="CVQ1" s="12"/>
      <c r="CVR1" s="12"/>
      <c r="CVS1" s="12"/>
      <c r="CVT1" s="12"/>
      <c r="CVU1" s="12"/>
      <c r="CVV1" s="12"/>
      <c r="CVW1" s="12"/>
      <c r="CVX1" s="12"/>
      <c r="CVY1" s="12"/>
      <c r="CVZ1" s="12"/>
      <c r="CWA1" s="12"/>
      <c r="CWB1" s="12"/>
      <c r="CWC1" s="12"/>
      <c r="CWD1" s="12"/>
      <c r="CWE1" s="12"/>
      <c r="CWF1" s="12"/>
      <c r="CWG1" s="12"/>
      <c r="CWH1" s="12"/>
      <c r="CWI1" s="12"/>
      <c r="CWJ1" s="12"/>
      <c r="CWK1" s="12"/>
      <c r="CWL1" s="12"/>
      <c r="CWM1" s="12"/>
      <c r="CWN1" s="12"/>
      <c r="CWO1" s="12"/>
      <c r="CWP1" s="12"/>
      <c r="CWQ1" s="12"/>
      <c r="CWR1" s="12"/>
      <c r="CWS1" s="12"/>
      <c r="CWT1" s="12"/>
      <c r="CWU1" s="12"/>
      <c r="CWV1" s="12"/>
      <c r="CWW1" s="12"/>
      <c r="CWX1" s="12"/>
      <c r="CWY1" s="12"/>
      <c r="CWZ1" s="12"/>
      <c r="CXA1" s="12"/>
      <c r="CXB1" s="12"/>
      <c r="CXC1" s="12"/>
      <c r="CXD1" s="12"/>
      <c r="CXE1" s="12"/>
      <c r="CXF1" s="12"/>
      <c r="CXG1" s="12"/>
      <c r="CXH1" s="12"/>
      <c r="CXI1" s="12"/>
      <c r="CXJ1" s="12"/>
      <c r="CXK1" s="12"/>
      <c r="CXL1" s="12"/>
      <c r="CXM1" s="12"/>
      <c r="CXN1" s="12"/>
      <c r="CXO1" s="12"/>
      <c r="CXP1" s="12"/>
      <c r="CXQ1" s="12"/>
      <c r="CXR1" s="12"/>
      <c r="CXS1" s="12"/>
      <c r="CXT1" s="12"/>
      <c r="CXU1" s="12"/>
      <c r="CXV1" s="12"/>
      <c r="CXW1" s="12"/>
      <c r="CXX1" s="12"/>
      <c r="CXY1" s="12"/>
      <c r="CXZ1" s="12"/>
      <c r="CYA1" s="12"/>
      <c r="CYB1" s="12"/>
      <c r="CYC1" s="12"/>
      <c r="CYD1" s="12"/>
      <c r="CYE1" s="12"/>
      <c r="CYF1" s="12"/>
      <c r="CYG1" s="12"/>
      <c r="CYH1" s="12"/>
      <c r="CYI1" s="12"/>
      <c r="CYJ1" s="12"/>
      <c r="CYK1" s="12"/>
      <c r="CYL1" s="12"/>
      <c r="CYM1" s="12"/>
      <c r="CYN1" s="12"/>
      <c r="CYO1" s="12"/>
      <c r="CYP1" s="12"/>
      <c r="CYQ1" s="12"/>
      <c r="CYR1" s="12"/>
      <c r="CYS1" s="12"/>
      <c r="CYT1" s="12"/>
      <c r="CYU1" s="12"/>
      <c r="CYV1" s="12"/>
      <c r="CYW1" s="12"/>
      <c r="CYX1" s="12"/>
      <c r="CYY1" s="12"/>
      <c r="CYZ1" s="12"/>
      <c r="CZA1" s="12"/>
      <c r="CZB1" s="12"/>
      <c r="CZC1" s="12"/>
      <c r="CZD1" s="12"/>
      <c r="CZE1" s="12"/>
      <c r="CZF1" s="12"/>
      <c r="CZG1" s="12"/>
      <c r="CZH1" s="12"/>
      <c r="CZI1" s="12"/>
      <c r="CZJ1" s="12"/>
      <c r="CZK1" s="12"/>
      <c r="CZL1" s="12"/>
      <c r="CZM1" s="12"/>
      <c r="CZN1" s="12"/>
      <c r="CZO1" s="12"/>
      <c r="CZP1" s="12"/>
      <c r="CZQ1" s="12"/>
      <c r="CZR1" s="12"/>
      <c r="CZS1" s="12"/>
      <c r="CZT1" s="12"/>
      <c r="CZU1" s="12"/>
      <c r="CZV1" s="12"/>
      <c r="CZW1" s="12"/>
      <c r="CZX1" s="12"/>
      <c r="CZY1" s="12"/>
      <c r="CZZ1" s="12"/>
      <c r="DAA1" s="12"/>
      <c r="DAB1" s="12"/>
      <c r="DAC1" s="12"/>
      <c r="DAD1" s="12"/>
      <c r="DAE1" s="12"/>
      <c r="DAF1" s="12"/>
      <c r="DAG1" s="12"/>
      <c r="DAH1" s="12"/>
      <c r="DAI1" s="12"/>
      <c r="DAJ1" s="12"/>
      <c r="DAK1" s="12"/>
      <c r="DAL1" s="12"/>
      <c r="DAM1" s="12"/>
      <c r="DAN1" s="12"/>
      <c r="DAO1" s="12"/>
      <c r="DAP1" s="12"/>
      <c r="DAQ1" s="12"/>
      <c r="DAR1" s="12"/>
      <c r="DAS1" s="12"/>
      <c r="DAT1" s="12"/>
      <c r="DAU1" s="12"/>
      <c r="DAV1" s="12"/>
      <c r="DAW1" s="12"/>
      <c r="DAX1" s="12"/>
      <c r="DAY1" s="12"/>
      <c r="DAZ1" s="12"/>
      <c r="DBA1" s="12"/>
      <c r="DBB1" s="12"/>
      <c r="DBC1" s="12"/>
      <c r="DBD1" s="12"/>
      <c r="DBE1" s="12"/>
      <c r="DBF1" s="12"/>
      <c r="DBG1" s="12"/>
      <c r="DBH1" s="12"/>
      <c r="DBI1" s="12"/>
      <c r="DBJ1" s="12"/>
      <c r="DBK1" s="12"/>
      <c r="DBL1" s="12"/>
      <c r="DBM1" s="12"/>
      <c r="DBN1" s="12"/>
      <c r="DBO1" s="12"/>
      <c r="DBP1" s="12"/>
      <c r="DBQ1" s="12"/>
      <c r="DBR1" s="12"/>
      <c r="DBS1" s="12"/>
      <c r="DBT1" s="12"/>
      <c r="DBU1" s="12"/>
      <c r="DBV1" s="12"/>
      <c r="DBW1" s="12"/>
      <c r="DBX1" s="12"/>
      <c r="DBY1" s="12"/>
      <c r="DBZ1" s="12"/>
      <c r="DCA1" s="12"/>
      <c r="DCB1" s="12"/>
      <c r="DCC1" s="12"/>
      <c r="DCD1" s="12"/>
      <c r="DCE1" s="12"/>
      <c r="DCF1" s="12"/>
      <c r="DCG1" s="12"/>
      <c r="DCH1" s="12"/>
      <c r="DCI1" s="12"/>
      <c r="DCJ1" s="12"/>
      <c r="DCK1" s="12"/>
      <c r="DCL1" s="12"/>
      <c r="DCM1" s="12"/>
      <c r="DCN1" s="12"/>
      <c r="DCO1" s="12"/>
      <c r="DCP1" s="12"/>
      <c r="DCQ1" s="12"/>
      <c r="DCR1" s="12"/>
      <c r="DCS1" s="12"/>
      <c r="DCT1" s="12"/>
      <c r="DCU1" s="12"/>
      <c r="DCV1" s="12"/>
      <c r="DCW1" s="12"/>
      <c r="DCX1" s="12"/>
      <c r="DCY1" s="12"/>
      <c r="DCZ1" s="12"/>
      <c r="DDA1" s="12"/>
      <c r="DDB1" s="12"/>
      <c r="DDC1" s="12"/>
      <c r="DDD1" s="12"/>
      <c r="DDE1" s="12"/>
      <c r="DDF1" s="12"/>
      <c r="DDG1" s="12"/>
      <c r="DDH1" s="12"/>
      <c r="DDI1" s="12"/>
    </row>
    <row r="2" customFormat="false" ht="13.8" hidden="false" customHeight="false" outlineLevel="0" collapsed="false">
      <c r="A2" s="13" t="s">
        <v>22</v>
      </c>
      <c r="B2" s="14" t="n">
        <v>29</v>
      </c>
      <c r="C2" s="14" t="n">
        <v>554</v>
      </c>
      <c r="D2" s="15" t="n">
        <v>503</v>
      </c>
      <c r="E2" s="14" t="s">
        <v>23</v>
      </c>
      <c r="F2" s="15" t="n">
        <v>216.91</v>
      </c>
      <c r="I2" s="14" t="s">
        <v>24</v>
      </c>
      <c r="J2" s="14" t="s">
        <v>25</v>
      </c>
      <c r="K2" s="16" t="s">
        <v>26</v>
      </c>
      <c r="L2" s="14" t="n">
        <f aca="false">(100*2)/8</f>
        <v>25</v>
      </c>
      <c r="M2" s="17" t="n">
        <f aca="false">L2/3</f>
        <v>8.33333333333333</v>
      </c>
      <c r="N2" s="18" t="s">
        <v>27</v>
      </c>
      <c r="P2" s="2" t="n">
        <v>36288</v>
      </c>
      <c r="Q2" s="2" t="n">
        <f aca="false">P2*2/8</f>
        <v>9072</v>
      </c>
    </row>
    <row r="3" customFormat="false" ht="26.5" hidden="false" customHeight="false" outlineLevel="0" collapsed="false">
      <c r="A3" s="19" t="s">
        <v>22</v>
      </c>
      <c r="B3" s="20" t="n">
        <v>29</v>
      </c>
      <c r="C3" s="20" t="n">
        <v>544</v>
      </c>
      <c r="D3" s="20" t="n">
        <v>10</v>
      </c>
      <c r="E3" s="21" t="s">
        <v>28</v>
      </c>
      <c r="F3" s="20"/>
      <c r="G3" s="8" t="s">
        <v>29</v>
      </c>
      <c r="I3" s="22" t="s">
        <v>30</v>
      </c>
      <c r="J3" s="21" t="s">
        <v>25</v>
      </c>
      <c r="K3" s="23" t="s">
        <v>31</v>
      </c>
      <c r="L3" s="21" t="n">
        <f aca="false">(100*2)/8</f>
        <v>25</v>
      </c>
      <c r="M3" s="24" t="n">
        <f aca="false">L3/3</f>
        <v>8.33333333333333</v>
      </c>
      <c r="N3" s="21" t="s">
        <v>27</v>
      </c>
      <c r="O3" s="25" t="s">
        <v>32</v>
      </c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  <c r="CV3" s="25"/>
      <c r="CW3" s="25"/>
      <c r="CX3" s="25"/>
      <c r="CY3" s="25"/>
      <c r="CZ3" s="25"/>
      <c r="DA3" s="25"/>
      <c r="DB3" s="25"/>
      <c r="DC3" s="25"/>
      <c r="DD3" s="25"/>
      <c r="DE3" s="25"/>
      <c r="DF3" s="25"/>
      <c r="DG3" s="25"/>
      <c r="DH3" s="25"/>
      <c r="DI3" s="25"/>
      <c r="DJ3" s="25"/>
      <c r="DK3" s="25"/>
      <c r="DL3" s="25"/>
      <c r="DM3" s="25"/>
      <c r="DN3" s="25"/>
      <c r="DO3" s="25"/>
      <c r="DP3" s="25"/>
      <c r="DQ3" s="25"/>
      <c r="DR3" s="25"/>
      <c r="DS3" s="25"/>
      <c r="DT3" s="25"/>
      <c r="DU3" s="25"/>
      <c r="DV3" s="25"/>
      <c r="DW3" s="25"/>
      <c r="DX3" s="25"/>
      <c r="DY3" s="25"/>
      <c r="DZ3" s="25"/>
      <c r="EA3" s="25"/>
      <c r="EB3" s="25"/>
      <c r="EC3" s="25"/>
      <c r="ED3" s="25"/>
      <c r="EE3" s="25"/>
      <c r="EF3" s="25"/>
      <c r="EG3" s="25"/>
      <c r="EH3" s="25"/>
      <c r="EI3" s="25"/>
      <c r="EJ3" s="25"/>
      <c r="EK3" s="25"/>
      <c r="EL3" s="25"/>
      <c r="EM3" s="25"/>
      <c r="EN3" s="25"/>
      <c r="EO3" s="25"/>
      <c r="EP3" s="25"/>
      <c r="EQ3" s="25"/>
      <c r="ER3" s="25"/>
      <c r="ES3" s="25"/>
      <c r="ET3" s="25"/>
      <c r="EU3" s="25"/>
      <c r="EV3" s="25"/>
      <c r="EW3" s="25"/>
      <c r="EX3" s="25"/>
      <c r="EY3" s="25"/>
      <c r="EZ3" s="25"/>
      <c r="FA3" s="25"/>
      <c r="FB3" s="25"/>
      <c r="FC3" s="25"/>
      <c r="FD3" s="25"/>
      <c r="FE3" s="25"/>
      <c r="FF3" s="25"/>
      <c r="FG3" s="25"/>
      <c r="FH3" s="25"/>
      <c r="FI3" s="25"/>
      <c r="FJ3" s="25"/>
      <c r="FK3" s="25"/>
      <c r="FL3" s="25"/>
      <c r="FM3" s="25"/>
      <c r="FN3" s="25"/>
      <c r="FO3" s="25"/>
      <c r="FP3" s="25"/>
      <c r="FQ3" s="25"/>
      <c r="FR3" s="25"/>
      <c r="FS3" s="25"/>
      <c r="FT3" s="25"/>
      <c r="FU3" s="25"/>
      <c r="FV3" s="25"/>
      <c r="FW3" s="25"/>
      <c r="FX3" s="25"/>
      <c r="FY3" s="25"/>
      <c r="FZ3" s="25"/>
      <c r="GA3" s="25"/>
      <c r="GB3" s="25"/>
      <c r="GC3" s="25"/>
      <c r="GD3" s="25"/>
      <c r="GE3" s="25"/>
      <c r="GF3" s="25"/>
      <c r="GG3" s="25"/>
      <c r="GH3" s="25"/>
      <c r="GI3" s="25"/>
      <c r="GJ3" s="25"/>
      <c r="GK3" s="25"/>
      <c r="GL3" s="25"/>
      <c r="GM3" s="25"/>
      <c r="GN3" s="25"/>
      <c r="GO3" s="25"/>
      <c r="GP3" s="25"/>
      <c r="GQ3" s="25"/>
      <c r="GR3" s="25"/>
      <c r="GS3" s="25"/>
      <c r="GT3" s="25"/>
      <c r="GU3" s="25"/>
      <c r="GV3" s="25"/>
      <c r="GW3" s="25"/>
      <c r="GX3" s="25"/>
      <c r="GY3" s="25"/>
      <c r="GZ3" s="25"/>
      <c r="HA3" s="25"/>
      <c r="HB3" s="25"/>
      <c r="HC3" s="25"/>
      <c r="HD3" s="25"/>
      <c r="HE3" s="25"/>
      <c r="HF3" s="25"/>
      <c r="HG3" s="25"/>
      <c r="HH3" s="25"/>
      <c r="HI3" s="25"/>
      <c r="HJ3" s="25"/>
      <c r="HK3" s="25"/>
      <c r="HL3" s="25"/>
      <c r="HM3" s="25"/>
      <c r="HN3" s="25"/>
      <c r="HO3" s="25"/>
      <c r="HP3" s="25"/>
      <c r="HQ3" s="25"/>
      <c r="HR3" s="25"/>
      <c r="HS3" s="25"/>
      <c r="HT3" s="25"/>
      <c r="HU3" s="25"/>
      <c r="HV3" s="25"/>
      <c r="HW3" s="25"/>
      <c r="HX3" s="25"/>
      <c r="HY3" s="25"/>
      <c r="HZ3" s="25"/>
      <c r="IA3" s="25"/>
      <c r="IB3" s="25"/>
      <c r="IC3" s="25"/>
      <c r="ID3" s="25"/>
      <c r="IE3" s="25"/>
      <c r="IF3" s="25"/>
      <c r="IG3" s="25"/>
      <c r="IH3" s="25"/>
      <c r="II3" s="25"/>
      <c r="IJ3" s="25"/>
      <c r="IK3" s="25"/>
      <c r="IL3" s="25"/>
      <c r="IM3" s="25"/>
      <c r="IN3" s="25"/>
      <c r="IO3" s="25"/>
      <c r="IP3" s="25"/>
      <c r="IQ3" s="25"/>
      <c r="IR3" s="25"/>
      <c r="IS3" s="25"/>
      <c r="IT3" s="25"/>
      <c r="IU3" s="25"/>
      <c r="IV3" s="25"/>
      <c r="IW3" s="25"/>
      <c r="IX3" s="25"/>
      <c r="IY3" s="25"/>
      <c r="IZ3" s="25"/>
      <c r="JA3" s="25"/>
      <c r="JB3" s="25"/>
      <c r="JC3" s="25"/>
      <c r="JD3" s="25"/>
      <c r="JE3" s="25"/>
      <c r="JF3" s="25"/>
      <c r="JG3" s="25"/>
      <c r="JH3" s="25"/>
      <c r="JI3" s="25"/>
      <c r="JJ3" s="25"/>
      <c r="JK3" s="25"/>
      <c r="JL3" s="25"/>
      <c r="JM3" s="25"/>
      <c r="JN3" s="25"/>
      <c r="JO3" s="25"/>
      <c r="JP3" s="25"/>
      <c r="JQ3" s="25"/>
      <c r="JR3" s="25"/>
      <c r="JS3" s="25"/>
      <c r="JT3" s="25"/>
      <c r="JU3" s="25"/>
      <c r="JV3" s="25"/>
      <c r="JW3" s="25"/>
      <c r="JX3" s="25"/>
      <c r="JY3" s="25"/>
      <c r="JZ3" s="25"/>
      <c r="KA3" s="25"/>
      <c r="KB3" s="25"/>
      <c r="KC3" s="25"/>
      <c r="KD3" s="25"/>
      <c r="KE3" s="25"/>
      <c r="KF3" s="25"/>
      <c r="KG3" s="25"/>
      <c r="KH3" s="25"/>
      <c r="KI3" s="25"/>
      <c r="KJ3" s="25"/>
      <c r="KK3" s="25"/>
      <c r="KL3" s="25"/>
      <c r="KM3" s="25"/>
      <c r="KN3" s="25"/>
      <c r="KO3" s="25"/>
      <c r="KP3" s="25"/>
      <c r="KQ3" s="25"/>
      <c r="KR3" s="25"/>
      <c r="KS3" s="25"/>
      <c r="KT3" s="25"/>
      <c r="KU3" s="25"/>
      <c r="KV3" s="25"/>
      <c r="KW3" s="25"/>
      <c r="KX3" s="25"/>
      <c r="KY3" s="25"/>
      <c r="KZ3" s="25"/>
      <c r="LA3" s="25"/>
      <c r="LB3" s="25"/>
      <c r="LC3" s="25"/>
      <c r="LD3" s="25"/>
      <c r="LE3" s="25"/>
      <c r="LF3" s="25"/>
      <c r="LG3" s="25"/>
      <c r="LH3" s="25"/>
      <c r="LI3" s="25"/>
      <c r="LJ3" s="25"/>
      <c r="LK3" s="25"/>
      <c r="LL3" s="25"/>
      <c r="LM3" s="25"/>
      <c r="LN3" s="25"/>
      <c r="LO3" s="25"/>
      <c r="LP3" s="25"/>
      <c r="LQ3" s="25"/>
      <c r="LR3" s="25"/>
      <c r="LS3" s="25"/>
      <c r="LT3" s="25"/>
      <c r="LU3" s="25"/>
      <c r="LV3" s="25"/>
      <c r="LW3" s="25"/>
      <c r="LX3" s="25"/>
      <c r="LY3" s="25"/>
      <c r="LZ3" s="25"/>
      <c r="MA3" s="25"/>
      <c r="MB3" s="25"/>
      <c r="MC3" s="25"/>
      <c r="MD3" s="25"/>
      <c r="ME3" s="25"/>
      <c r="MF3" s="25"/>
      <c r="MG3" s="25"/>
      <c r="MH3" s="25"/>
      <c r="MI3" s="25"/>
      <c r="MJ3" s="25"/>
      <c r="MK3" s="25"/>
      <c r="ML3" s="25"/>
      <c r="MM3" s="25"/>
      <c r="MN3" s="25"/>
      <c r="MO3" s="25"/>
      <c r="MP3" s="25"/>
      <c r="MQ3" s="25"/>
      <c r="MR3" s="25"/>
      <c r="MS3" s="25"/>
      <c r="MT3" s="25"/>
      <c r="MU3" s="25"/>
      <c r="MV3" s="25"/>
      <c r="MW3" s="25"/>
      <c r="MX3" s="25"/>
      <c r="MY3" s="25"/>
      <c r="MZ3" s="25"/>
      <c r="NA3" s="25"/>
      <c r="NB3" s="25"/>
      <c r="NC3" s="25"/>
      <c r="ND3" s="25"/>
      <c r="NE3" s="25"/>
      <c r="NF3" s="25"/>
      <c r="NG3" s="25"/>
      <c r="NH3" s="25"/>
      <c r="NI3" s="25"/>
      <c r="NJ3" s="25"/>
      <c r="NK3" s="25"/>
      <c r="NL3" s="25"/>
      <c r="NM3" s="25"/>
      <c r="NN3" s="25"/>
      <c r="NO3" s="25"/>
      <c r="NP3" s="25"/>
      <c r="NQ3" s="25"/>
      <c r="NR3" s="25"/>
      <c r="NS3" s="25"/>
      <c r="NT3" s="25"/>
      <c r="NU3" s="25"/>
      <c r="NV3" s="25"/>
      <c r="NW3" s="25"/>
      <c r="NX3" s="25"/>
      <c r="NY3" s="25"/>
      <c r="NZ3" s="25"/>
      <c r="OA3" s="25"/>
      <c r="OB3" s="25"/>
      <c r="OC3" s="25"/>
      <c r="OD3" s="25"/>
      <c r="OE3" s="25"/>
      <c r="OF3" s="25"/>
      <c r="OG3" s="25"/>
      <c r="OH3" s="25"/>
      <c r="OI3" s="25"/>
      <c r="OJ3" s="25"/>
      <c r="OK3" s="25"/>
      <c r="OL3" s="25"/>
      <c r="OM3" s="25"/>
      <c r="ON3" s="25"/>
      <c r="OO3" s="25"/>
      <c r="OP3" s="25"/>
      <c r="OQ3" s="25"/>
      <c r="OR3" s="25"/>
      <c r="OS3" s="25"/>
      <c r="OT3" s="25"/>
      <c r="OU3" s="25"/>
      <c r="OV3" s="25"/>
      <c r="OW3" s="25"/>
      <c r="OX3" s="25"/>
      <c r="OY3" s="25"/>
      <c r="OZ3" s="25"/>
      <c r="PA3" s="25"/>
      <c r="PB3" s="25"/>
      <c r="PC3" s="25"/>
      <c r="PD3" s="25"/>
      <c r="PE3" s="25"/>
      <c r="PF3" s="25"/>
      <c r="PG3" s="25"/>
      <c r="PH3" s="25"/>
      <c r="PI3" s="25"/>
      <c r="PJ3" s="25"/>
      <c r="PK3" s="25"/>
      <c r="PL3" s="25"/>
      <c r="PM3" s="25"/>
      <c r="PN3" s="25"/>
      <c r="PO3" s="25"/>
      <c r="PP3" s="25"/>
      <c r="PQ3" s="25"/>
      <c r="PR3" s="25"/>
      <c r="PS3" s="25"/>
      <c r="PT3" s="25"/>
      <c r="PU3" s="25"/>
      <c r="PV3" s="25"/>
      <c r="PW3" s="25"/>
      <c r="PX3" s="25"/>
      <c r="PY3" s="25"/>
      <c r="PZ3" s="25"/>
      <c r="QA3" s="25"/>
      <c r="QB3" s="25"/>
      <c r="QC3" s="25"/>
      <c r="QD3" s="25"/>
      <c r="QE3" s="25"/>
      <c r="QF3" s="25"/>
      <c r="QG3" s="25"/>
      <c r="QH3" s="25"/>
      <c r="QI3" s="25"/>
      <c r="QJ3" s="25"/>
      <c r="QK3" s="25"/>
      <c r="QL3" s="25"/>
      <c r="QM3" s="25"/>
      <c r="QN3" s="25"/>
      <c r="QO3" s="25"/>
      <c r="QP3" s="25"/>
      <c r="QQ3" s="25"/>
      <c r="QR3" s="25"/>
      <c r="QS3" s="25"/>
      <c r="QT3" s="25"/>
      <c r="QU3" s="25"/>
      <c r="QV3" s="25"/>
      <c r="QW3" s="25"/>
      <c r="QX3" s="25"/>
      <c r="QY3" s="25"/>
      <c r="QZ3" s="25"/>
      <c r="RA3" s="25"/>
      <c r="RB3" s="25"/>
      <c r="RC3" s="25"/>
      <c r="RD3" s="25"/>
      <c r="RE3" s="25"/>
      <c r="RF3" s="25"/>
      <c r="RG3" s="25"/>
      <c r="RH3" s="25"/>
      <c r="RI3" s="25"/>
      <c r="RJ3" s="25"/>
      <c r="RK3" s="25"/>
      <c r="RL3" s="25"/>
      <c r="RM3" s="25"/>
      <c r="RN3" s="25"/>
      <c r="RO3" s="25"/>
      <c r="RP3" s="25"/>
      <c r="RQ3" s="25"/>
      <c r="RR3" s="25"/>
      <c r="RS3" s="25"/>
      <c r="RT3" s="25"/>
      <c r="RU3" s="25"/>
      <c r="RV3" s="25"/>
      <c r="RW3" s="25"/>
      <c r="RX3" s="25"/>
      <c r="RY3" s="25"/>
      <c r="RZ3" s="25"/>
      <c r="SA3" s="25"/>
      <c r="SB3" s="25"/>
      <c r="SC3" s="25"/>
      <c r="SD3" s="25"/>
      <c r="SE3" s="25"/>
      <c r="SF3" s="25"/>
      <c r="SG3" s="25"/>
      <c r="SH3" s="25"/>
      <c r="SI3" s="25"/>
      <c r="SJ3" s="25"/>
      <c r="SK3" s="25"/>
      <c r="SL3" s="25"/>
      <c r="SM3" s="25"/>
      <c r="SN3" s="25"/>
      <c r="SO3" s="25"/>
      <c r="SP3" s="25"/>
      <c r="SQ3" s="25"/>
      <c r="SR3" s="25"/>
      <c r="SS3" s="25"/>
      <c r="ST3" s="25"/>
      <c r="SU3" s="25"/>
      <c r="SV3" s="25"/>
      <c r="SW3" s="25"/>
      <c r="SX3" s="25"/>
      <c r="SY3" s="25"/>
      <c r="SZ3" s="25"/>
      <c r="TA3" s="25"/>
      <c r="TB3" s="25"/>
      <c r="TC3" s="25"/>
      <c r="TD3" s="25"/>
      <c r="TE3" s="25"/>
      <c r="TF3" s="25"/>
      <c r="TG3" s="25"/>
      <c r="TH3" s="25"/>
      <c r="TI3" s="25"/>
      <c r="TJ3" s="25"/>
      <c r="TK3" s="25"/>
      <c r="TL3" s="25"/>
      <c r="TM3" s="25"/>
      <c r="TN3" s="25"/>
      <c r="TO3" s="25"/>
      <c r="TP3" s="25"/>
      <c r="TQ3" s="25"/>
      <c r="TR3" s="25"/>
      <c r="TS3" s="25"/>
      <c r="TT3" s="25"/>
      <c r="TU3" s="25"/>
      <c r="TV3" s="25"/>
      <c r="TW3" s="25"/>
      <c r="TX3" s="25"/>
      <c r="TY3" s="25"/>
      <c r="TZ3" s="25"/>
      <c r="UA3" s="25"/>
      <c r="UB3" s="25"/>
      <c r="UC3" s="25"/>
      <c r="UD3" s="25"/>
      <c r="UE3" s="25"/>
      <c r="UF3" s="25"/>
      <c r="UG3" s="25"/>
      <c r="UH3" s="25"/>
      <c r="UI3" s="25"/>
      <c r="UJ3" s="25"/>
      <c r="UK3" s="25"/>
      <c r="UL3" s="25"/>
      <c r="UM3" s="25"/>
      <c r="UN3" s="25"/>
      <c r="UO3" s="25"/>
      <c r="UP3" s="25"/>
      <c r="UQ3" s="25"/>
      <c r="UR3" s="25"/>
      <c r="US3" s="25"/>
      <c r="UT3" s="25"/>
      <c r="UU3" s="25"/>
      <c r="UV3" s="25"/>
      <c r="UW3" s="25"/>
      <c r="UX3" s="25"/>
      <c r="UY3" s="25"/>
      <c r="UZ3" s="25"/>
      <c r="VA3" s="25"/>
      <c r="VB3" s="25"/>
      <c r="VC3" s="25"/>
      <c r="VD3" s="25"/>
      <c r="VE3" s="25"/>
      <c r="VF3" s="25"/>
      <c r="VG3" s="25"/>
      <c r="VH3" s="25"/>
      <c r="VI3" s="25"/>
      <c r="VJ3" s="25"/>
      <c r="VK3" s="25"/>
      <c r="VL3" s="25"/>
      <c r="VM3" s="25"/>
      <c r="VN3" s="25"/>
      <c r="VO3" s="25"/>
      <c r="VP3" s="25"/>
      <c r="VQ3" s="25"/>
      <c r="VR3" s="25"/>
      <c r="VS3" s="25"/>
      <c r="VT3" s="25"/>
      <c r="VU3" s="25"/>
      <c r="VV3" s="25"/>
      <c r="VW3" s="25"/>
      <c r="VX3" s="25"/>
      <c r="VY3" s="25"/>
      <c r="VZ3" s="25"/>
      <c r="WA3" s="25"/>
      <c r="WB3" s="25"/>
      <c r="WC3" s="25"/>
      <c r="WD3" s="25"/>
      <c r="WE3" s="25"/>
      <c r="WF3" s="25"/>
      <c r="WG3" s="25"/>
      <c r="WH3" s="25"/>
      <c r="WI3" s="25"/>
      <c r="WJ3" s="25"/>
      <c r="WK3" s="25"/>
      <c r="WL3" s="25"/>
      <c r="WM3" s="25"/>
      <c r="WN3" s="25"/>
      <c r="WO3" s="25"/>
      <c r="WP3" s="25"/>
      <c r="WQ3" s="25"/>
      <c r="WR3" s="25"/>
      <c r="WS3" s="25"/>
      <c r="WT3" s="25"/>
      <c r="WU3" s="25"/>
      <c r="WV3" s="25"/>
      <c r="WW3" s="25"/>
      <c r="WX3" s="25"/>
      <c r="WY3" s="25"/>
      <c r="WZ3" s="25"/>
      <c r="XA3" s="25"/>
      <c r="XB3" s="25"/>
      <c r="XC3" s="25"/>
      <c r="XD3" s="25"/>
      <c r="XE3" s="25"/>
      <c r="XF3" s="25"/>
      <c r="XG3" s="25"/>
      <c r="XH3" s="25"/>
      <c r="XI3" s="25"/>
      <c r="XJ3" s="25"/>
      <c r="XK3" s="25"/>
      <c r="XL3" s="25"/>
      <c r="XM3" s="25"/>
      <c r="XN3" s="25"/>
      <c r="XO3" s="25"/>
      <c r="XP3" s="25"/>
      <c r="XQ3" s="25"/>
      <c r="XR3" s="25"/>
      <c r="XS3" s="25"/>
      <c r="XT3" s="25"/>
      <c r="XU3" s="25"/>
      <c r="XV3" s="25"/>
      <c r="XW3" s="25"/>
      <c r="XX3" s="25"/>
      <c r="XY3" s="25"/>
      <c r="XZ3" s="25"/>
      <c r="YA3" s="25"/>
      <c r="YB3" s="25"/>
      <c r="YC3" s="25"/>
      <c r="YD3" s="25"/>
      <c r="YE3" s="25"/>
      <c r="YF3" s="25"/>
      <c r="YG3" s="25"/>
      <c r="YH3" s="25"/>
      <c r="YI3" s="25"/>
      <c r="YJ3" s="25"/>
      <c r="YK3" s="25"/>
      <c r="YL3" s="25"/>
      <c r="YM3" s="25"/>
      <c r="YN3" s="25"/>
      <c r="YO3" s="25"/>
      <c r="YP3" s="25"/>
      <c r="YQ3" s="25"/>
      <c r="YR3" s="25"/>
      <c r="YS3" s="25"/>
      <c r="YT3" s="25"/>
      <c r="YU3" s="25"/>
      <c r="YV3" s="25"/>
      <c r="YW3" s="25"/>
      <c r="YX3" s="25"/>
      <c r="YY3" s="25"/>
      <c r="YZ3" s="25"/>
      <c r="ZA3" s="25"/>
      <c r="ZB3" s="25"/>
      <c r="ZC3" s="25"/>
      <c r="ZD3" s="25"/>
      <c r="ZE3" s="25"/>
      <c r="ZF3" s="25"/>
      <c r="ZG3" s="25"/>
      <c r="ZH3" s="25"/>
      <c r="ZI3" s="25"/>
      <c r="ZJ3" s="25"/>
      <c r="ZK3" s="25"/>
      <c r="ZL3" s="25"/>
      <c r="ZM3" s="25"/>
      <c r="ZN3" s="25"/>
      <c r="ZO3" s="25"/>
      <c r="ZP3" s="25"/>
      <c r="ZQ3" s="25"/>
      <c r="ZR3" s="25"/>
      <c r="ZS3" s="25"/>
      <c r="ZT3" s="25"/>
      <c r="ZU3" s="25"/>
      <c r="ZV3" s="25"/>
      <c r="ZW3" s="25"/>
      <c r="ZX3" s="25"/>
      <c r="ZY3" s="25"/>
      <c r="ZZ3" s="25"/>
      <c r="AAA3" s="25"/>
      <c r="AAB3" s="25"/>
      <c r="AAC3" s="25"/>
      <c r="AAD3" s="25"/>
      <c r="AAE3" s="25"/>
      <c r="AAF3" s="25"/>
      <c r="AAG3" s="25"/>
      <c r="AAH3" s="25"/>
      <c r="AAI3" s="25"/>
      <c r="AAJ3" s="25"/>
      <c r="AAK3" s="25"/>
      <c r="AAL3" s="25"/>
      <c r="AAM3" s="25"/>
      <c r="AAN3" s="25"/>
      <c r="AAO3" s="25"/>
      <c r="AAP3" s="25"/>
      <c r="AAQ3" s="25"/>
      <c r="AAR3" s="25"/>
      <c r="AAS3" s="25"/>
      <c r="AAT3" s="25"/>
      <c r="AAU3" s="25"/>
      <c r="AAV3" s="25"/>
      <c r="AAW3" s="25"/>
      <c r="AAX3" s="25"/>
      <c r="AAY3" s="25"/>
      <c r="AAZ3" s="25"/>
      <c r="ABA3" s="25"/>
      <c r="ABB3" s="25"/>
      <c r="ABC3" s="25"/>
      <c r="ABD3" s="25"/>
      <c r="ABE3" s="25"/>
      <c r="ABF3" s="25"/>
      <c r="ABG3" s="25"/>
      <c r="ABH3" s="25"/>
      <c r="ABI3" s="25"/>
      <c r="ABJ3" s="25"/>
      <c r="ABK3" s="25"/>
      <c r="ABL3" s="25"/>
      <c r="ABM3" s="25"/>
      <c r="ABN3" s="25"/>
      <c r="ABO3" s="25"/>
      <c r="ABP3" s="25"/>
      <c r="ABQ3" s="25"/>
      <c r="ABR3" s="25"/>
      <c r="ABS3" s="25"/>
      <c r="ABT3" s="25"/>
      <c r="ABU3" s="25"/>
      <c r="ABV3" s="25"/>
      <c r="ABW3" s="25"/>
      <c r="ABX3" s="25"/>
      <c r="ABY3" s="25"/>
      <c r="ABZ3" s="25"/>
      <c r="ACA3" s="25"/>
      <c r="ACB3" s="25"/>
      <c r="ACC3" s="25"/>
      <c r="ACD3" s="25"/>
      <c r="ACE3" s="25"/>
      <c r="ACF3" s="25"/>
      <c r="ACG3" s="25"/>
      <c r="ACH3" s="25"/>
      <c r="ACI3" s="25"/>
      <c r="ACJ3" s="25"/>
      <c r="ACK3" s="25"/>
      <c r="ACL3" s="25"/>
      <c r="ACM3" s="25"/>
      <c r="ACN3" s="25"/>
      <c r="ACO3" s="25"/>
      <c r="ACP3" s="25"/>
      <c r="ACQ3" s="25"/>
      <c r="ACR3" s="25"/>
      <c r="ACS3" s="25"/>
      <c r="ACT3" s="25"/>
      <c r="ACU3" s="25"/>
      <c r="ACV3" s="25"/>
      <c r="ACW3" s="25"/>
      <c r="ACX3" s="25"/>
      <c r="ACY3" s="25"/>
      <c r="ACZ3" s="25"/>
      <c r="ADA3" s="25"/>
      <c r="ADB3" s="25"/>
      <c r="ADC3" s="25"/>
      <c r="ADD3" s="25"/>
      <c r="ADE3" s="25"/>
      <c r="ADF3" s="25"/>
      <c r="ADG3" s="25"/>
      <c r="ADH3" s="25"/>
      <c r="ADI3" s="25"/>
      <c r="ADJ3" s="25"/>
      <c r="ADK3" s="25"/>
      <c r="ADL3" s="25"/>
      <c r="ADM3" s="25"/>
      <c r="ADN3" s="25"/>
      <c r="ADO3" s="25"/>
      <c r="ADP3" s="25"/>
      <c r="ADQ3" s="25"/>
      <c r="ADR3" s="25"/>
      <c r="ADS3" s="25"/>
      <c r="ADT3" s="25"/>
      <c r="ADU3" s="25"/>
      <c r="ADV3" s="25"/>
      <c r="ADW3" s="25"/>
      <c r="ADX3" s="25"/>
      <c r="ADY3" s="25"/>
      <c r="ADZ3" s="25"/>
      <c r="AEA3" s="25"/>
      <c r="AEB3" s="25"/>
      <c r="AEC3" s="25"/>
      <c r="AED3" s="25"/>
      <c r="AEE3" s="25"/>
      <c r="AEF3" s="25"/>
      <c r="AEG3" s="25"/>
      <c r="AEH3" s="25"/>
      <c r="AEI3" s="25"/>
      <c r="AEJ3" s="25"/>
      <c r="AEK3" s="25"/>
      <c r="AEL3" s="25"/>
      <c r="AEM3" s="25"/>
      <c r="AEN3" s="25"/>
      <c r="AEO3" s="25"/>
      <c r="AEP3" s="25"/>
      <c r="AEQ3" s="25"/>
      <c r="AER3" s="25"/>
      <c r="AES3" s="25"/>
      <c r="AET3" s="25"/>
      <c r="AEU3" s="25"/>
      <c r="AEV3" s="25"/>
      <c r="AEW3" s="25"/>
      <c r="AEX3" s="25"/>
      <c r="AEY3" s="25"/>
      <c r="AEZ3" s="25"/>
      <c r="AFA3" s="25"/>
      <c r="AFB3" s="25"/>
      <c r="AFC3" s="25"/>
      <c r="AFD3" s="25"/>
      <c r="AFE3" s="25"/>
      <c r="AFF3" s="25"/>
      <c r="AFG3" s="25"/>
      <c r="AFH3" s="25"/>
      <c r="AFI3" s="25"/>
      <c r="AFJ3" s="25"/>
      <c r="AFK3" s="25"/>
      <c r="AFL3" s="25"/>
      <c r="AFM3" s="25"/>
      <c r="AFN3" s="25"/>
      <c r="AFO3" s="25"/>
      <c r="AFP3" s="25"/>
      <c r="AFQ3" s="25"/>
      <c r="AFR3" s="25"/>
      <c r="AFS3" s="25"/>
      <c r="AFT3" s="25"/>
      <c r="AFU3" s="25"/>
      <c r="AFV3" s="25"/>
      <c r="AFW3" s="25"/>
      <c r="AFX3" s="25"/>
      <c r="AFY3" s="25"/>
      <c r="AFZ3" s="25"/>
      <c r="AGA3" s="25"/>
      <c r="AGB3" s="25"/>
      <c r="AGC3" s="25"/>
      <c r="AGD3" s="25"/>
      <c r="AGE3" s="25"/>
      <c r="AGF3" s="25"/>
      <c r="AGG3" s="25"/>
      <c r="AGH3" s="25"/>
      <c r="AGI3" s="25"/>
      <c r="AGJ3" s="25"/>
      <c r="AGK3" s="25"/>
      <c r="AGL3" s="25"/>
      <c r="AGM3" s="25"/>
      <c r="AGN3" s="25"/>
      <c r="AGO3" s="25"/>
      <c r="AGP3" s="25"/>
      <c r="AGQ3" s="25"/>
      <c r="AGR3" s="25"/>
      <c r="AGS3" s="25"/>
      <c r="AGT3" s="25"/>
      <c r="AGU3" s="25"/>
      <c r="AGV3" s="25"/>
      <c r="AGW3" s="25"/>
      <c r="AGX3" s="25"/>
      <c r="AGY3" s="25"/>
      <c r="AGZ3" s="25"/>
      <c r="AHA3" s="25"/>
      <c r="AHB3" s="25"/>
      <c r="AHC3" s="25"/>
      <c r="AHD3" s="25"/>
      <c r="AHE3" s="25"/>
      <c r="AHF3" s="25"/>
      <c r="AHG3" s="25"/>
      <c r="AHH3" s="25"/>
      <c r="AHI3" s="25"/>
      <c r="AHJ3" s="25"/>
      <c r="AHK3" s="25"/>
      <c r="AHL3" s="25"/>
      <c r="AHM3" s="25"/>
      <c r="AHN3" s="25"/>
      <c r="AHO3" s="25"/>
      <c r="AHP3" s="25"/>
      <c r="AHQ3" s="25"/>
      <c r="AHR3" s="25"/>
      <c r="AHS3" s="25"/>
      <c r="AHT3" s="25"/>
      <c r="AHU3" s="25"/>
      <c r="AHV3" s="25"/>
      <c r="AHW3" s="25"/>
      <c r="AHX3" s="25"/>
      <c r="AHY3" s="25"/>
      <c r="AHZ3" s="25"/>
      <c r="AIA3" s="25"/>
      <c r="AIB3" s="25"/>
      <c r="AIC3" s="25"/>
      <c r="AID3" s="25"/>
      <c r="AIE3" s="25"/>
      <c r="AIF3" s="25"/>
      <c r="AIG3" s="25"/>
      <c r="AIH3" s="25"/>
      <c r="AII3" s="25"/>
      <c r="AIJ3" s="25"/>
      <c r="AIK3" s="25"/>
      <c r="AIL3" s="25"/>
      <c r="AIM3" s="25"/>
      <c r="AIN3" s="25"/>
      <c r="AIO3" s="25"/>
      <c r="AIP3" s="25"/>
      <c r="AIQ3" s="25"/>
      <c r="AIR3" s="25"/>
      <c r="AIS3" s="25"/>
      <c r="AIT3" s="25"/>
      <c r="AIU3" s="25"/>
      <c r="AIV3" s="25"/>
      <c r="AIW3" s="25"/>
      <c r="AIX3" s="25"/>
      <c r="AIY3" s="25"/>
      <c r="AIZ3" s="25"/>
      <c r="AJA3" s="25"/>
      <c r="AJB3" s="25"/>
      <c r="AJC3" s="25"/>
      <c r="AJD3" s="25"/>
      <c r="AJE3" s="25"/>
      <c r="AJF3" s="25"/>
      <c r="AJG3" s="25"/>
      <c r="AJH3" s="25"/>
      <c r="AJI3" s="25"/>
      <c r="AJJ3" s="25"/>
      <c r="AJK3" s="25"/>
      <c r="AJL3" s="25"/>
      <c r="AJM3" s="25"/>
      <c r="AJN3" s="25"/>
      <c r="AJO3" s="25"/>
      <c r="AJP3" s="25"/>
      <c r="AJQ3" s="25"/>
      <c r="AJR3" s="25"/>
      <c r="AJS3" s="25"/>
      <c r="AJT3" s="25"/>
      <c r="AJU3" s="25"/>
      <c r="AJV3" s="25"/>
      <c r="AJW3" s="25"/>
      <c r="AJX3" s="25"/>
      <c r="AJY3" s="25"/>
      <c r="AJZ3" s="25"/>
      <c r="AKA3" s="25"/>
      <c r="AKB3" s="25"/>
      <c r="AKC3" s="25"/>
      <c r="AKD3" s="25"/>
      <c r="AKE3" s="25"/>
      <c r="AKF3" s="25"/>
      <c r="AKG3" s="25"/>
      <c r="AKH3" s="25"/>
      <c r="AKI3" s="25"/>
      <c r="AKJ3" s="25"/>
      <c r="AKK3" s="25"/>
      <c r="AKL3" s="25"/>
      <c r="AKM3" s="25"/>
      <c r="AKN3" s="25"/>
      <c r="AKO3" s="25"/>
      <c r="AKP3" s="25"/>
      <c r="AKQ3" s="25"/>
      <c r="AKR3" s="25"/>
      <c r="AKS3" s="25"/>
      <c r="AKT3" s="25"/>
      <c r="AKU3" s="25"/>
      <c r="AKV3" s="25"/>
      <c r="AKW3" s="25"/>
      <c r="AKX3" s="25"/>
      <c r="AKY3" s="25"/>
      <c r="AKZ3" s="25"/>
      <c r="ALA3" s="25"/>
      <c r="ALB3" s="25"/>
      <c r="ALC3" s="25"/>
      <c r="ALD3" s="25"/>
      <c r="ALE3" s="25"/>
      <c r="ALF3" s="25"/>
      <c r="ALG3" s="25"/>
      <c r="ALH3" s="25"/>
      <c r="ALI3" s="25"/>
      <c r="ALJ3" s="25"/>
      <c r="ALK3" s="25"/>
      <c r="ALL3" s="25"/>
      <c r="ALM3" s="25"/>
      <c r="ALN3" s="25"/>
      <c r="ALO3" s="25"/>
      <c r="ALP3" s="25"/>
      <c r="ALQ3" s="25"/>
      <c r="ALR3" s="25"/>
      <c r="ALS3" s="25"/>
      <c r="ALT3" s="25"/>
      <c r="ALU3" s="25"/>
      <c r="ALV3" s="25"/>
      <c r="ALW3" s="25"/>
      <c r="ALX3" s="25"/>
      <c r="ALY3" s="25"/>
      <c r="ALZ3" s="25"/>
      <c r="AMA3" s="25"/>
      <c r="AMB3" s="25"/>
      <c r="AMC3" s="25"/>
      <c r="AMD3" s="25"/>
      <c r="AME3" s="25"/>
      <c r="AMF3" s="25"/>
      <c r="AMG3" s="25"/>
      <c r="AMH3" s="25"/>
      <c r="AMI3" s="25"/>
      <c r="AMJ3" s="25"/>
      <c r="AMK3" s="25"/>
      <c r="AML3" s="25"/>
      <c r="AMM3" s="25"/>
      <c r="AMN3" s="25"/>
      <c r="AMO3" s="25"/>
      <c r="AMP3" s="25"/>
      <c r="AMQ3" s="25"/>
      <c r="AMR3" s="25"/>
      <c r="AMS3" s="25"/>
      <c r="AMT3" s="25"/>
      <c r="AMU3" s="25"/>
      <c r="AMV3" s="25"/>
      <c r="AMW3" s="25"/>
      <c r="AMX3" s="25"/>
      <c r="AMY3" s="25"/>
      <c r="AMZ3" s="25"/>
      <c r="ANA3" s="25"/>
      <c r="ANB3" s="25"/>
      <c r="ANC3" s="25"/>
      <c r="AND3" s="25"/>
      <c r="ANE3" s="25"/>
      <c r="ANF3" s="25"/>
      <c r="ANG3" s="25"/>
      <c r="ANH3" s="25"/>
      <c r="ANI3" s="25"/>
      <c r="ANJ3" s="25"/>
      <c r="ANK3" s="25"/>
      <c r="ANL3" s="25"/>
      <c r="ANM3" s="25"/>
      <c r="ANN3" s="25"/>
      <c r="ANO3" s="25"/>
      <c r="ANP3" s="25"/>
      <c r="ANQ3" s="25"/>
      <c r="ANR3" s="25"/>
      <c r="ANS3" s="25"/>
      <c r="ANT3" s="25"/>
      <c r="ANU3" s="25"/>
      <c r="ANV3" s="25"/>
      <c r="ANW3" s="25"/>
      <c r="ANX3" s="25"/>
      <c r="ANY3" s="25"/>
      <c r="ANZ3" s="25"/>
      <c r="AOA3" s="25"/>
      <c r="AOB3" s="25"/>
      <c r="AOC3" s="25"/>
      <c r="AOD3" s="25"/>
      <c r="AOE3" s="25"/>
      <c r="AOF3" s="25"/>
      <c r="AOG3" s="25"/>
      <c r="AOH3" s="25"/>
      <c r="AOI3" s="25"/>
      <c r="AOJ3" s="25"/>
      <c r="AOK3" s="25"/>
      <c r="AOL3" s="25"/>
      <c r="AOM3" s="25"/>
      <c r="AON3" s="25"/>
      <c r="AOO3" s="25"/>
      <c r="AOP3" s="25"/>
      <c r="AOQ3" s="25"/>
      <c r="AOR3" s="25"/>
      <c r="AOS3" s="25"/>
      <c r="AOT3" s="25"/>
      <c r="AOU3" s="25"/>
      <c r="AOV3" s="25"/>
      <c r="AOW3" s="25"/>
      <c r="AOX3" s="25"/>
      <c r="AOY3" s="25"/>
      <c r="AOZ3" s="25"/>
      <c r="APA3" s="25"/>
      <c r="APB3" s="25"/>
      <c r="APC3" s="25"/>
      <c r="APD3" s="25"/>
      <c r="APE3" s="25"/>
      <c r="APF3" s="25"/>
      <c r="APG3" s="25"/>
      <c r="APH3" s="25"/>
      <c r="API3" s="25"/>
      <c r="APJ3" s="25"/>
      <c r="APK3" s="25"/>
      <c r="APL3" s="25"/>
      <c r="APM3" s="25"/>
      <c r="APN3" s="25"/>
      <c r="APO3" s="25"/>
      <c r="APP3" s="25"/>
      <c r="APQ3" s="25"/>
      <c r="APR3" s="25"/>
      <c r="APS3" s="25"/>
      <c r="APT3" s="25"/>
      <c r="APU3" s="25"/>
      <c r="APV3" s="25"/>
      <c r="APW3" s="25"/>
      <c r="APX3" s="25"/>
      <c r="APY3" s="25"/>
      <c r="APZ3" s="25"/>
      <c r="AQA3" s="25"/>
      <c r="AQB3" s="25"/>
      <c r="AQC3" s="25"/>
      <c r="AQD3" s="25"/>
      <c r="AQE3" s="25"/>
      <c r="AQF3" s="25"/>
      <c r="AQG3" s="25"/>
      <c r="AQH3" s="25"/>
      <c r="AQI3" s="25"/>
      <c r="AQJ3" s="25"/>
      <c r="AQK3" s="25"/>
      <c r="AQL3" s="25"/>
      <c r="AQM3" s="25"/>
      <c r="AQN3" s="25"/>
      <c r="AQO3" s="25"/>
      <c r="AQP3" s="25"/>
      <c r="AQQ3" s="25"/>
      <c r="AQR3" s="25"/>
      <c r="AQS3" s="25"/>
      <c r="AQT3" s="25"/>
      <c r="AQU3" s="25"/>
      <c r="AQV3" s="25"/>
      <c r="AQW3" s="25"/>
      <c r="AQX3" s="25"/>
      <c r="AQY3" s="25"/>
      <c r="AQZ3" s="25"/>
      <c r="ARA3" s="25"/>
      <c r="ARB3" s="25"/>
      <c r="ARC3" s="25"/>
      <c r="ARD3" s="25"/>
      <c r="ARE3" s="25"/>
      <c r="ARF3" s="25"/>
      <c r="ARG3" s="25"/>
      <c r="ARH3" s="25"/>
      <c r="ARI3" s="25"/>
      <c r="ARJ3" s="25"/>
      <c r="ARK3" s="25"/>
      <c r="ARL3" s="25"/>
      <c r="ARM3" s="25"/>
      <c r="ARN3" s="25"/>
      <c r="ARO3" s="25"/>
      <c r="ARP3" s="25"/>
      <c r="ARQ3" s="25"/>
      <c r="ARR3" s="25"/>
      <c r="ARS3" s="25"/>
      <c r="ART3" s="25"/>
      <c r="ARU3" s="25"/>
      <c r="ARV3" s="25"/>
      <c r="ARW3" s="25"/>
      <c r="ARX3" s="25"/>
      <c r="ARY3" s="25"/>
      <c r="ARZ3" s="25"/>
      <c r="ASA3" s="25"/>
      <c r="ASB3" s="25"/>
      <c r="ASC3" s="25"/>
      <c r="ASD3" s="25"/>
      <c r="ASE3" s="25"/>
      <c r="ASF3" s="25"/>
      <c r="ASG3" s="25"/>
      <c r="ASH3" s="25"/>
      <c r="ASI3" s="25"/>
      <c r="ASJ3" s="25"/>
      <c r="ASK3" s="25"/>
      <c r="ASL3" s="25"/>
      <c r="ASM3" s="25"/>
      <c r="ASN3" s="25"/>
      <c r="ASO3" s="25"/>
      <c r="ASP3" s="25"/>
      <c r="ASQ3" s="25"/>
      <c r="ASR3" s="25"/>
      <c r="ASS3" s="25"/>
      <c r="AST3" s="25"/>
      <c r="ASU3" s="25"/>
      <c r="ASV3" s="25"/>
      <c r="ASW3" s="25"/>
      <c r="ASX3" s="25"/>
      <c r="ASY3" s="25"/>
      <c r="ASZ3" s="25"/>
      <c r="ATA3" s="25"/>
      <c r="ATB3" s="25"/>
      <c r="ATC3" s="25"/>
      <c r="ATD3" s="25"/>
      <c r="ATE3" s="25"/>
      <c r="ATF3" s="25"/>
      <c r="ATG3" s="25"/>
      <c r="ATH3" s="25"/>
      <c r="ATI3" s="25"/>
      <c r="ATJ3" s="25"/>
      <c r="ATK3" s="25"/>
      <c r="ATL3" s="25"/>
      <c r="ATM3" s="25"/>
      <c r="ATN3" s="25"/>
      <c r="ATO3" s="25"/>
      <c r="ATP3" s="25"/>
      <c r="ATQ3" s="25"/>
      <c r="ATR3" s="25"/>
      <c r="ATS3" s="25"/>
      <c r="ATT3" s="25"/>
      <c r="ATU3" s="25"/>
      <c r="ATV3" s="25"/>
      <c r="ATW3" s="25"/>
      <c r="ATX3" s="25"/>
      <c r="ATY3" s="25"/>
      <c r="ATZ3" s="25"/>
      <c r="AUA3" s="25"/>
      <c r="AUB3" s="25"/>
      <c r="AUC3" s="25"/>
      <c r="AUD3" s="25"/>
      <c r="AUE3" s="25"/>
      <c r="AUF3" s="25"/>
      <c r="AUG3" s="25"/>
      <c r="AUH3" s="25"/>
      <c r="AUI3" s="25"/>
      <c r="AUJ3" s="25"/>
      <c r="AUK3" s="25"/>
      <c r="AUL3" s="25"/>
      <c r="AUM3" s="25"/>
      <c r="AUN3" s="25"/>
      <c r="AUO3" s="25"/>
      <c r="AUP3" s="25"/>
      <c r="AUQ3" s="25"/>
      <c r="AUR3" s="25"/>
      <c r="AUS3" s="25"/>
      <c r="AUT3" s="25"/>
      <c r="AUU3" s="25"/>
      <c r="AUV3" s="25"/>
      <c r="AUW3" s="25"/>
      <c r="AUX3" s="25"/>
      <c r="AUY3" s="25"/>
      <c r="AUZ3" s="25"/>
      <c r="AVA3" s="25"/>
      <c r="AVB3" s="25"/>
      <c r="AVC3" s="25"/>
      <c r="AVD3" s="25"/>
      <c r="AVE3" s="25"/>
      <c r="AVF3" s="25"/>
      <c r="AVG3" s="25"/>
      <c r="AVH3" s="25"/>
      <c r="AVI3" s="25"/>
      <c r="AVJ3" s="25"/>
      <c r="AVK3" s="25"/>
      <c r="AVL3" s="25"/>
      <c r="AVM3" s="25"/>
      <c r="AVN3" s="25"/>
      <c r="AVO3" s="25"/>
      <c r="AVP3" s="25"/>
      <c r="AVQ3" s="25"/>
      <c r="AVR3" s="25"/>
      <c r="AVS3" s="25"/>
      <c r="AVT3" s="25"/>
      <c r="AVU3" s="25"/>
      <c r="AVV3" s="25"/>
      <c r="AVW3" s="25"/>
      <c r="AVX3" s="25"/>
      <c r="AVY3" s="25"/>
      <c r="AVZ3" s="25"/>
      <c r="AWA3" s="25"/>
      <c r="AWB3" s="25"/>
      <c r="AWC3" s="25"/>
      <c r="AWD3" s="25"/>
      <c r="AWE3" s="25"/>
      <c r="AWF3" s="25"/>
      <c r="AWG3" s="25"/>
      <c r="AWH3" s="25"/>
      <c r="AWI3" s="25"/>
      <c r="AWJ3" s="25"/>
      <c r="AWK3" s="25"/>
      <c r="AWL3" s="25"/>
      <c r="AWM3" s="25"/>
      <c r="AWN3" s="25"/>
      <c r="AWO3" s="25"/>
      <c r="AWP3" s="25"/>
      <c r="AWQ3" s="25"/>
      <c r="AWR3" s="25"/>
      <c r="AWS3" s="25"/>
      <c r="AWT3" s="25"/>
      <c r="AWU3" s="25"/>
      <c r="AWV3" s="25"/>
      <c r="AWW3" s="25"/>
      <c r="AWX3" s="25"/>
      <c r="AWY3" s="25"/>
      <c r="AWZ3" s="25"/>
      <c r="AXA3" s="25"/>
      <c r="AXB3" s="25"/>
      <c r="AXC3" s="25"/>
      <c r="AXD3" s="25"/>
      <c r="AXE3" s="25"/>
      <c r="AXF3" s="25"/>
      <c r="AXG3" s="25"/>
      <c r="AXH3" s="25"/>
      <c r="AXI3" s="25"/>
      <c r="AXJ3" s="25"/>
      <c r="AXK3" s="25"/>
      <c r="AXL3" s="25"/>
      <c r="AXM3" s="25"/>
      <c r="AXN3" s="25"/>
      <c r="AXO3" s="25"/>
      <c r="AXP3" s="25"/>
      <c r="AXQ3" s="25"/>
      <c r="AXR3" s="25"/>
      <c r="AXS3" s="25"/>
      <c r="AXT3" s="25"/>
      <c r="AXU3" s="25"/>
      <c r="AXV3" s="25"/>
      <c r="AXW3" s="25"/>
      <c r="AXX3" s="25"/>
      <c r="AXY3" s="25"/>
      <c r="AXZ3" s="25"/>
      <c r="AYA3" s="25"/>
      <c r="AYB3" s="25"/>
      <c r="AYC3" s="25"/>
      <c r="AYD3" s="25"/>
      <c r="AYE3" s="25"/>
      <c r="AYF3" s="25"/>
      <c r="AYG3" s="25"/>
      <c r="AYH3" s="25"/>
      <c r="AYI3" s="25"/>
      <c r="AYJ3" s="25"/>
      <c r="AYK3" s="25"/>
      <c r="AYL3" s="25"/>
      <c r="AYM3" s="25"/>
      <c r="AYN3" s="25"/>
      <c r="AYO3" s="25"/>
      <c r="AYP3" s="25"/>
      <c r="AYQ3" s="25"/>
      <c r="AYR3" s="25"/>
      <c r="AYS3" s="25"/>
      <c r="AYT3" s="25"/>
      <c r="AYU3" s="25"/>
      <c r="AYV3" s="25"/>
      <c r="AYW3" s="25"/>
      <c r="AYX3" s="25"/>
      <c r="AYY3" s="25"/>
      <c r="AYZ3" s="25"/>
      <c r="AZA3" s="25"/>
      <c r="AZB3" s="25"/>
      <c r="AZC3" s="25"/>
      <c r="AZD3" s="25"/>
      <c r="AZE3" s="25"/>
      <c r="AZF3" s="25"/>
      <c r="AZG3" s="25"/>
      <c r="AZH3" s="25"/>
      <c r="AZI3" s="25"/>
      <c r="AZJ3" s="25"/>
      <c r="AZK3" s="25"/>
      <c r="AZL3" s="25"/>
      <c r="AZM3" s="25"/>
      <c r="AZN3" s="25"/>
      <c r="AZO3" s="25"/>
      <c r="AZP3" s="25"/>
      <c r="AZQ3" s="25"/>
      <c r="AZR3" s="25"/>
      <c r="AZS3" s="25"/>
      <c r="AZT3" s="25"/>
      <c r="AZU3" s="25"/>
      <c r="AZV3" s="25"/>
      <c r="AZW3" s="25"/>
      <c r="AZX3" s="25"/>
      <c r="AZY3" s="25"/>
      <c r="AZZ3" s="25"/>
      <c r="BAA3" s="25"/>
      <c r="BAB3" s="25"/>
      <c r="BAC3" s="25"/>
      <c r="BAD3" s="25"/>
      <c r="BAE3" s="25"/>
      <c r="BAF3" s="25"/>
      <c r="BAG3" s="25"/>
      <c r="BAH3" s="25"/>
      <c r="BAI3" s="25"/>
      <c r="BAJ3" s="25"/>
      <c r="BAK3" s="25"/>
      <c r="BAL3" s="25"/>
      <c r="BAM3" s="25"/>
      <c r="BAN3" s="25"/>
      <c r="BAO3" s="25"/>
      <c r="BAP3" s="25"/>
      <c r="BAQ3" s="25"/>
      <c r="BAR3" s="25"/>
      <c r="BAS3" s="25"/>
      <c r="BAT3" s="25"/>
      <c r="BAU3" s="25"/>
      <c r="BAV3" s="25"/>
      <c r="BAW3" s="25"/>
      <c r="BAX3" s="25"/>
      <c r="BAY3" s="25"/>
      <c r="BAZ3" s="25"/>
      <c r="BBA3" s="25"/>
      <c r="BBB3" s="25"/>
      <c r="BBC3" s="25"/>
      <c r="BBD3" s="25"/>
      <c r="BBE3" s="25"/>
      <c r="BBF3" s="25"/>
      <c r="BBG3" s="25"/>
      <c r="BBH3" s="25"/>
      <c r="BBI3" s="25"/>
      <c r="BBJ3" s="25"/>
      <c r="BBK3" s="25"/>
      <c r="BBL3" s="25"/>
      <c r="BBM3" s="25"/>
      <c r="BBN3" s="25"/>
      <c r="BBO3" s="25"/>
      <c r="BBP3" s="25"/>
      <c r="BBQ3" s="25"/>
      <c r="BBR3" s="25"/>
      <c r="BBS3" s="25"/>
      <c r="BBT3" s="25"/>
      <c r="BBU3" s="25"/>
      <c r="BBV3" s="25"/>
      <c r="BBW3" s="25"/>
      <c r="BBX3" s="25"/>
      <c r="BBY3" s="25"/>
      <c r="BBZ3" s="25"/>
      <c r="BCA3" s="25"/>
      <c r="BCB3" s="25"/>
      <c r="BCC3" s="25"/>
      <c r="BCD3" s="25"/>
      <c r="BCE3" s="25"/>
      <c r="BCF3" s="25"/>
      <c r="BCG3" s="25"/>
      <c r="BCH3" s="25"/>
      <c r="BCI3" s="25"/>
      <c r="BCJ3" s="25"/>
      <c r="BCK3" s="25"/>
      <c r="BCL3" s="25"/>
      <c r="BCM3" s="25"/>
      <c r="BCN3" s="25"/>
      <c r="BCO3" s="25"/>
      <c r="BCP3" s="25"/>
      <c r="BCQ3" s="25"/>
      <c r="BCR3" s="25"/>
      <c r="BCS3" s="25"/>
      <c r="BCT3" s="25"/>
      <c r="BCU3" s="25"/>
      <c r="BCV3" s="25"/>
      <c r="BCW3" s="25"/>
      <c r="BCX3" s="25"/>
      <c r="BCY3" s="25"/>
      <c r="BCZ3" s="25"/>
      <c r="BDA3" s="25"/>
      <c r="BDB3" s="25"/>
      <c r="BDC3" s="25"/>
      <c r="BDD3" s="25"/>
      <c r="BDE3" s="25"/>
      <c r="BDF3" s="25"/>
      <c r="BDG3" s="25"/>
      <c r="BDH3" s="25"/>
      <c r="BDI3" s="25"/>
      <c r="BDJ3" s="25"/>
      <c r="BDK3" s="25"/>
      <c r="BDL3" s="25"/>
      <c r="BDM3" s="25"/>
      <c r="BDN3" s="25"/>
      <c r="BDO3" s="25"/>
      <c r="BDP3" s="25"/>
      <c r="BDQ3" s="25"/>
      <c r="BDR3" s="25"/>
      <c r="BDS3" s="25"/>
      <c r="BDT3" s="25"/>
      <c r="BDU3" s="25"/>
      <c r="BDV3" s="25"/>
      <c r="BDW3" s="25"/>
      <c r="BDX3" s="25"/>
      <c r="BDY3" s="25"/>
      <c r="BDZ3" s="25"/>
      <c r="BEA3" s="25"/>
      <c r="BEB3" s="25"/>
      <c r="BEC3" s="25"/>
      <c r="BED3" s="25"/>
      <c r="BEE3" s="25"/>
      <c r="BEF3" s="25"/>
      <c r="BEG3" s="25"/>
      <c r="BEH3" s="25"/>
      <c r="BEI3" s="25"/>
      <c r="BEJ3" s="25"/>
      <c r="BEK3" s="25"/>
      <c r="BEL3" s="25"/>
      <c r="BEM3" s="25"/>
      <c r="BEN3" s="25"/>
      <c r="BEO3" s="25"/>
      <c r="BEP3" s="25"/>
      <c r="BEQ3" s="25"/>
      <c r="BER3" s="25"/>
      <c r="BES3" s="25"/>
      <c r="BET3" s="25"/>
      <c r="BEU3" s="25"/>
      <c r="BEV3" s="25"/>
      <c r="BEW3" s="25"/>
      <c r="BEX3" s="25"/>
      <c r="BEY3" s="25"/>
      <c r="BEZ3" s="25"/>
      <c r="BFA3" s="25"/>
      <c r="BFB3" s="25"/>
      <c r="BFC3" s="25"/>
      <c r="BFD3" s="25"/>
      <c r="BFE3" s="25"/>
      <c r="BFF3" s="25"/>
      <c r="BFG3" s="25"/>
      <c r="BFH3" s="25"/>
      <c r="BFI3" s="25"/>
      <c r="BFJ3" s="25"/>
      <c r="BFK3" s="25"/>
      <c r="BFL3" s="25"/>
      <c r="BFM3" s="25"/>
      <c r="BFN3" s="25"/>
      <c r="BFO3" s="25"/>
      <c r="BFP3" s="25"/>
      <c r="BFQ3" s="25"/>
      <c r="BFR3" s="25"/>
      <c r="BFS3" s="25"/>
      <c r="BFT3" s="25"/>
      <c r="BFU3" s="25"/>
      <c r="BFV3" s="25"/>
      <c r="BFW3" s="25"/>
      <c r="BFX3" s="25"/>
      <c r="BFY3" s="25"/>
      <c r="BFZ3" s="25"/>
      <c r="BGA3" s="25"/>
      <c r="BGB3" s="25"/>
      <c r="BGC3" s="25"/>
      <c r="BGD3" s="25"/>
      <c r="BGE3" s="25"/>
      <c r="BGF3" s="25"/>
      <c r="BGG3" s="25"/>
      <c r="BGH3" s="25"/>
      <c r="BGI3" s="25"/>
      <c r="BGJ3" s="25"/>
      <c r="BGK3" s="25"/>
      <c r="BGL3" s="25"/>
      <c r="BGM3" s="25"/>
      <c r="BGN3" s="25"/>
      <c r="BGO3" s="25"/>
      <c r="BGP3" s="25"/>
      <c r="BGQ3" s="25"/>
      <c r="BGR3" s="25"/>
      <c r="BGS3" s="25"/>
      <c r="BGT3" s="25"/>
      <c r="BGU3" s="25"/>
      <c r="BGV3" s="25"/>
      <c r="BGW3" s="25"/>
      <c r="BGX3" s="25"/>
      <c r="BGY3" s="25"/>
      <c r="BGZ3" s="25"/>
      <c r="BHA3" s="25"/>
      <c r="BHB3" s="25"/>
      <c r="BHC3" s="25"/>
      <c r="BHD3" s="25"/>
      <c r="BHE3" s="25"/>
      <c r="BHF3" s="25"/>
      <c r="BHG3" s="25"/>
      <c r="BHH3" s="25"/>
      <c r="BHI3" s="25"/>
      <c r="BHJ3" s="25"/>
      <c r="BHK3" s="25"/>
      <c r="BHL3" s="25"/>
      <c r="BHM3" s="25"/>
      <c r="BHN3" s="25"/>
      <c r="BHO3" s="25"/>
      <c r="BHP3" s="25"/>
      <c r="BHQ3" s="25"/>
      <c r="BHR3" s="25"/>
      <c r="BHS3" s="25"/>
      <c r="BHT3" s="25"/>
      <c r="BHU3" s="25"/>
      <c r="BHV3" s="25"/>
      <c r="BHW3" s="25"/>
      <c r="BHX3" s="25"/>
      <c r="BHY3" s="25"/>
      <c r="BHZ3" s="25"/>
      <c r="BIA3" s="25"/>
      <c r="BIB3" s="25"/>
      <c r="BIC3" s="25"/>
      <c r="BID3" s="25"/>
      <c r="BIE3" s="25"/>
      <c r="BIF3" s="25"/>
      <c r="BIG3" s="25"/>
      <c r="BIH3" s="25"/>
      <c r="BII3" s="25"/>
      <c r="BIJ3" s="25"/>
      <c r="BIK3" s="25"/>
      <c r="BIL3" s="25"/>
      <c r="BIM3" s="25"/>
      <c r="BIN3" s="25"/>
      <c r="BIO3" s="25"/>
      <c r="BIP3" s="25"/>
      <c r="BIQ3" s="25"/>
      <c r="BIR3" s="25"/>
      <c r="BIS3" s="25"/>
      <c r="BIT3" s="25"/>
      <c r="BIU3" s="25"/>
      <c r="BIV3" s="25"/>
      <c r="BIW3" s="25"/>
      <c r="BIX3" s="25"/>
      <c r="BIY3" s="25"/>
      <c r="BIZ3" s="25"/>
      <c r="BJA3" s="25"/>
      <c r="BJB3" s="25"/>
      <c r="BJC3" s="25"/>
      <c r="BJD3" s="25"/>
      <c r="BJE3" s="25"/>
      <c r="BJF3" s="25"/>
      <c r="BJG3" s="25"/>
      <c r="BJH3" s="25"/>
      <c r="BJI3" s="25"/>
      <c r="BJJ3" s="25"/>
      <c r="BJK3" s="25"/>
      <c r="BJL3" s="25"/>
      <c r="BJM3" s="25"/>
      <c r="BJN3" s="25"/>
      <c r="BJO3" s="25"/>
      <c r="BJP3" s="25"/>
      <c r="BJQ3" s="25"/>
      <c r="BJR3" s="25"/>
      <c r="BJS3" s="25"/>
      <c r="BJT3" s="25"/>
      <c r="BJU3" s="25"/>
      <c r="BJV3" s="25"/>
      <c r="BJW3" s="25"/>
      <c r="BJX3" s="25"/>
      <c r="BJY3" s="25"/>
      <c r="BJZ3" s="25"/>
      <c r="BKA3" s="25"/>
      <c r="BKB3" s="25"/>
      <c r="BKC3" s="25"/>
      <c r="BKD3" s="25"/>
      <c r="BKE3" s="25"/>
      <c r="BKF3" s="25"/>
      <c r="BKG3" s="25"/>
      <c r="BKH3" s="25"/>
      <c r="BKI3" s="25"/>
      <c r="BKJ3" s="25"/>
      <c r="BKK3" s="25"/>
      <c r="BKL3" s="25"/>
      <c r="BKM3" s="25"/>
      <c r="BKN3" s="25"/>
      <c r="BKO3" s="25"/>
      <c r="BKP3" s="25"/>
      <c r="BKQ3" s="25"/>
      <c r="BKR3" s="25"/>
      <c r="BKS3" s="25"/>
      <c r="BKT3" s="25"/>
      <c r="BKU3" s="25"/>
      <c r="BKV3" s="25"/>
      <c r="BKW3" s="25"/>
      <c r="BKX3" s="25"/>
      <c r="BKY3" s="25"/>
      <c r="BKZ3" s="25"/>
      <c r="BLA3" s="25"/>
      <c r="BLB3" s="25"/>
      <c r="BLC3" s="25"/>
      <c r="BLD3" s="25"/>
      <c r="BLE3" s="25"/>
      <c r="BLF3" s="25"/>
      <c r="BLG3" s="25"/>
      <c r="BLH3" s="25"/>
      <c r="BLI3" s="25"/>
      <c r="BLJ3" s="25"/>
      <c r="BLK3" s="25"/>
      <c r="BLL3" s="25"/>
      <c r="BLM3" s="25"/>
      <c r="BLN3" s="25"/>
      <c r="BLO3" s="25"/>
      <c r="BLP3" s="25"/>
      <c r="BLQ3" s="25"/>
      <c r="BLR3" s="25"/>
      <c r="BLS3" s="25"/>
      <c r="BLT3" s="25"/>
      <c r="BLU3" s="25"/>
      <c r="BLV3" s="25"/>
      <c r="BLW3" s="25"/>
      <c r="BLX3" s="25"/>
      <c r="BLY3" s="25"/>
      <c r="BLZ3" s="25"/>
      <c r="BMA3" s="25"/>
      <c r="BMB3" s="25"/>
      <c r="BMC3" s="25"/>
      <c r="BMD3" s="25"/>
      <c r="BME3" s="25"/>
      <c r="BMF3" s="25"/>
      <c r="BMG3" s="25"/>
      <c r="BMH3" s="25"/>
      <c r="BMI3" s="25"/>
      <c r="BMJ3" s="25"/>
      <c r="BMK3" s="25"/>
      <c r="BML3" s="25"/>
      <c r="BMM3" s="25"/>
      <c r="BMN3" s="25"/>
      <c r="BMO3" s="25"/>
      <c r="BMP3" s="25"/>
      <c r="BMQ3" s="25"/>
      <c r="BMR3" s="25"/>
      <c r="BMS3" s="25"/>
      <c r="BMT3" s="25"/>
      <c r="BMU3" s="25"/>
      <c r="BMV3" s="25"/>
      <c r="BMW3" s="25"/>
      <c r="BMX3" s="25"/>
      <c r="BMY3" s="25"/>
      <c r="BMZ3" s="25"/>
      <c r="BNA3" s="25"/>
      <c r="BNB3" s="25"/>
      <c r="BNC3" s="25"/>
      <c r="BND3" s="25"/>
      <c r="BNE3" s="25"/>
      <c r="BNF3" s="25"/>
      <c r="BNG3" s="25"/>
      <c r="BNH3" s="25"/>
      <c r="BNI3" s="25"/>
      <c r="BNJ3" s="25"/>
      <c r="BNK3" s="25"/>
      <c r="BNL3" s="25"/>
      <c r="BNM3" s="25"/>
      <c r="BNN3" s="25"/>
      <c r="BNO3" s="25"/>
      <c r="BNP3" s="25"/>
      <c r="BNQ3" s="25"/>
      <c r="BNR3" s="25"/>
      <c r="BNS3" s="25"/>
      <c r="BNT3" s="25"/>
      <c r="BNU3" s="25"/>
      <c r="BNV3" s="25"/>
      <c r="BNW3" s="25"/>
      <c r="BNX3" s="25"/>
      <c r="BNY3" s="25"/>
      <c r="BNZ3" s="25"/>
      <c r="BOA3" s="25"/>
      <c r="BOB3" s="25"/>
      <c r="BOC3" s="25"/>
      <c r="BOD3" s="25"/>
      <c r="BOE3" s="25"/>
      <c r="BOF3" s="25"/>
      <c r="BOG3" s="25"/>
      <c r="BOH3" s="25"/>
      <c r="BOI3" s="25"/>
      <c r="BOJ3" s="25"/>
      <c r="BOK3" s="25"/>
      <c r="BOL3" s="25"/>
      <c r="BOM3" s="25"/>
      <c r="BON3" s="25"/>
      <c r="BOO3" s="25"/>
      <c r="BOP3" s="25"/>
      <c r="BOQ3" s="25"/>
      <c r="BOR3" s="25"/>
      <c r="BOS3" s="25"/>
      <c r="BOT3" s="25"/>
      <c r="BOU3" s="25"/>
      <c r="BOV3" s="25"/>
      <c r="BOW3" s="25"/>
      <c r="BOX3" s="25"/>
      <c r="BOY3" s="25"/>
      <c r="BOZ3" s="25"/>
      <c r="BPA3" s="25"/>
      <c r="BPB3" s="25"/>
      <c r="BPC3" s="25"/>
      <c r="BPD3" s="25"/>
      <c r="BPE3" s="25"/>
      <c r="BPF3" s="25"/>
      <c r="BPG3" s="25"/>
      <c r="BPH3" s="25"/>
      <c r="BPI3" s="25"/>
      <c r="BPJ3" s="25"/>
      <c r="BPK3" s="25"/>
      <c r="BPL3" s="25"/>
      <c r="BPM3" s="25"/>
      <c r="BPN3" s="25"/>
      <c r="BPO3" s="25"/>
      <c r="BPP3" s="25"/>
      <c r="BPQ3" s="25"/>
      <c r="BPR3" s="25"/>
      <c r="BPS3" s="25"/>
      <c r="BPT3" s="25"/>
      <c r="BPU3" s="25"/>
      <c r="BPV3" s="25"/>
      <c r="BPW3" s="25"/>
      <c r="BPX3" s="25"/>
      <c r="BPY3" s="25"/>
      <c r="BPZ3" s="25"/>
      <c r="BQA3" s="25"/>
      <c r="BQB3" s="25"/>
      <c r="BQC3" s="25"/>
      <c r="BQD3" s="25"/>
      <c r="BQE3" s="25"/>
      <c r="BQF3" s="25"/>
      <c r="BQG3" s="25"/>
      <c r="BQH3" s="25"/>
      <c r="BQI3" s="25"/>
      <c r="BQJ3" s="25"/>
      <c r="BQK3" s="25"/>
      <c r="BQL3" s="25"/>
      <c r="BQM3" s="25"/>
      <c r="BQN3" s="25"/>
      <c r="BQO3" s="25"/>
      <c r="BQP3" s="25"/>
      <c r="BQQ3" s="25"/>
      <c r="BQR3" s="25"/>
      <c r="BQS3" s="25"/>
      <c r="BQT3" s="25"/>
      <c r="BQU3" s="25"/>
      <c r="BQV3" s="25"/>
      <c r="BQW3" s="25"/>
      <c r="BQX3" s="25"/>
      <c r="BQY3" s="25"/>
      <c r="BQZ3" s="25"/>
      <c r="BRA3" s="25"/>
      <c r="BRB3" s="25"/>
      <c r="BRC3" s="25"/>
      <c r="BRD3" s="25"/>
      <c r="BRE3" s="25"/>
      <c r="BRF3" s="25"/>
      <c r="BRG3" s="25"/>
      <c r="BRH3" s="25"/>
      <c r="BRI3" s="25"/>
      <c r="BRJ3" s="25"/>
      <c r="BRK3" s="25"/>
      <c r="BRL3" s="25"/>
      <c r="BRM3" s="25"/>
      <c r="BRN3" s="25"/>
      <c r="BRO3" s="25"/>
      <c r="BRP3" s="25"/>
      <c r="BRQ3" s="25"/>
      <c r="BRR3" s="25"/>
      <c r="BRS3" s="25"/>
      <c r="BRT3" s="25"/>
      <c r="BRU3" s="25"/>
      <c r="BRV3" s="25"/>
      <c r="BRW3" s="25"/>
      <c r="BRX3" s="25"/>
      <c r="BRY3" s="25"/>
      <c r="BRZ3" s="25"/>
      <c r="BSA3" s="25"/>
      <c r="BSB3" s="25"/>
      <c r="BSC3" s="25"/>
      <c r="BSD3" s="25"/>
      <c r="BSE3" s="25"/>
      <c r="BSF3" s="25"/>
      <c r="BSG3" s="25"/>
      <c r="BSH3" s="25"/>
      <c r="BSI3" s="25"/>
      <c r="BSJ3" s="25"/>
      <c r="BSK3" s="25"/>
      <c r="BSL3" s="25"/>
      <c r="BSM3" s="25"/>
      <c r="BSN3" s="25"/>
      <c r="BSO3" s="25"/>
      <c r="BSP3" s="25"/>
      <c r="BSQ3" s="25"/>
      <c r="BSR3" s="25"/>
      <c r="BSS3" s="25"/>
      <c r="BST3" s="25"/>
      <c r="BSU3" s="25"/>
      <c r="BSV3" s="25"/>
      <c r="BSW3" s="25"/>
      <c r="BSX3" s="25"/>
      <c r="BSY3" s="25"/>
      <c r="BSZ3" s="25"/>
      <c r="BTA3" s="25"/>
      <c r="BTB3" s="25"/>
      <c r="BTC3" s="25"/>
      <c r="BTD3" s="25"/>
      <c r="BTE3" s="25"/>
      <c r="BTF3" s="25"/>
      <c r="BTG3" s="25"/>
      <c r="BTH3" s="25"/>
      <c r="BTI3" s="25"/>
      <c r="BTJ3" s="25"/>
      <c r="BTK3" s="25"/>
      <c r="BTL3" s="25"/>
      <c r="BTM3" s="25"/>
      <c r="BTN3" s="25"/>
      <c r="BTO3" s="25"/>
      <c r="BTP3" s="25"/>
      <c r="BTQ3" s="25"/>
      <c r="BTR3" s="25"/>
      <c r="BTS3" s="25"/>
      <c r="BTT3" s="25"/>
      <c r="BTU3" s="25"/>
      <c r="BTV3" s="25"/>
      <c r="BTW3" s="25"/>
      <c r="BTX3" s="25"/>
      <c r="BTY3" s="25"/>
      <c r="BTZ3" s="25"/>
      <c r="BUA3" s="25"/>
      <c r="BUB3" s="25"/>
      <c r="BUC3" s="25"/>
      <c r="BUD3" s="25"/>
      <c r="BUE3" s="25"/>
      <c r="BUF3" s="25"/>
      <c r="BUG3" s="25"/>
      <c r="BUH3" s="25"/>
      <c r="BUI3" s="25"/>
      <c r="BUJ3" s="25"/>
      <c r="BUK3" s="25"/>
      <c r="BUL3" s="25"/>
      <c r="BUM3" s="25"/>
      <c r="BUN3" s="25"/>
      <c r="BUO3" s="25"/>
      <c r="BUP3" s="25"/>
      <c r="BUQ3" s="25"/>
      <c r="BUR3" s="25"/>
      <c r="BUS3" s="25"/>
      <c r="BUT3" s="25"/>
      <c r="BUU3" s="25"/>
      <c r="BUV3" s="25"/>
      <c r="BUW3" s="25"/>
      <c r="BUX3" s="25"/>
      <c r="BUY3" s="25"/>
      <c r="BUZ3" s="25"/>
      <c r="BVA3" s="25"/>
      <c r="BVB3" s="25"/>
      <c r="BVC3" s="25"/>
      <c r="BVD3" s="25"/>
      <c r="BVE3" s="25"/>
      <c r="BVF3" s="25"/>
      <c r="BVG3" s="25"/>
      <c r="BVH3" s="25"/>
      <c r="BVI3" s="25"/>
      <c r="BVJ3" s="25"/>
      <c r="BVK3" s="25"/>
      <c r="BVL3" s="25"/>
      <c r="BVM3" s="25"/>
      <c r="BVN3" s="25"/>
      <c r="BVO3" s="25"/>
      <c r="BVP3" s="25"/>
      <c r="BVQ3" s="25"/>
      <c r="BVR3" s="25"/>
      <c r="BVS3" s="25"/>
      <c r="BVT3" s="25"/>
      <c r="BVU3" s="25"/>
      <c r="BVV3" s="25"/>
      <c r="BVW3" s="25"/>
      <c r="BVX3" s="25"/>
      <c r="BVY3" s="25"/>
      <c r="BVZ3" s="25"/>
      <c r="BWA3" s="25"/>
      <c r="BWB3" s="25"/>
      <c r="BWC3" s="25"/>
      <c r="BWD3" s="25"/>
      <c r="BWE3" s="25"/>
      <c r="BWF3" s="25"/>
      <c r="BWG3" s="25"/>
      <c r="BWH3" s="25"/>
      <c r="BWI3" s="25"/>
      <c r="BWJ3" s="25"/>
      <c r="BWK3" s="25"/>
      <c r="BWL3" s="25"/>
      <c r="BWM3" s="25"/>
      <c r="BWN3" s="25"/>
      <c r="BWO3" s="25"/>
      <c r="BWP3" s="25"/>
      <c r="BWQ3" s="25"/>
      <c r="BWR3" s="25"/>
      <c r="BWS3" s="25"/>
      <c r="BWT3" s="25"/>
      <c r="BWU3" s="25"/>
      <c r="BWV3" s="25"/>
      <c r="BWW3" s="25"/>
      <c r="BWX3" s="25"/>
      <c r="BWY3" s="25"/>
      <c r="BWZ3" s="25"/>
      <c r="BXA3" s="25"/>
      <c r="BXB3" s="25"/>
      <c r="BXC3" s="25"/>
      <c r="BXD3" s="25"/>
      <c r="BXE3" s="25"/>
      <c r="BXF3" s="25"/>
      <c r="BXG3" s="25"/>
      <c r="BXH3" s="25"/>
      <c r="BXI3" s="25"/>
      <c r="BXJ3" s="25"/>
      <c r="BXK3" s="25"/>
      <c r="BXL3" s="25"/>
      <c r="BXM3" s="25"/>
      <c r="BXN3" s="25"/>
      <c r="BXO3" s="25"/>
      <c r="BXP3" s="25"/>
      <c r="BXQ3" s="25"/>
      <c r="BXR3" s="25"/>
      <c r="BXS3" s="25"/>
      <c r="BXT3" s="25"/>
      <c r="BXU3" s="25"/>
      <c r="BXV3" s="25"/>
      <c r="BXW3" s="25"/>
      <c r="BXX3" s="25"/>
      <c r="BXY3" s="25"/>
      <c r="BXZ3" s="25"/>
      <c r="BYA3" s="25"/>
      <c r="BYB3" s="25"/>
      <c r="BYC3" s="25"/>
      <c r="BYD3" s="25"/>
      <c r="BYE3" s="25"/>
      <c r="BYF3" s="25"/>
      <c r="BYG3" s="25"/>
      <c r="BYH3" s="25"/>
      <c r="BYI3" s="25"/>
      <c r="BYJ3" s="25"/>
      <c r="BYK3" s="25"/>
      <c r="BYL3" s="25"/>
      <c r="BYM3" s="25"/>
      <c r="BYN3" s="25"/>
      <c r="BYO3" s="25"/>
      <c r="BYP3" s="25"/>
      <c r="BYQ3" s="25"/>
      <c r="BYR3" s="25"/>
      <c r="BYS3" s="25"/>
      <c r="BYT3" s="25"/>
      <c r="BYU3" s="25"/>
      <c r="BYV3" s="25"/>
      <c r="BYW3" s="25"/>
      <c r="BYX3" s="25"/>
      <c r="BYY3" s="25"/>
      <c r="BYZ3" s="25"/>
      <c r="BZA3" s="25"/>
      <c r="BZB3" s="25"/>
      <c r="BZC3" s="25"/>
      <c r="BZD3" s="25"/>
      <c r="BZE3" s="25"/>
      <c r="BZF3" s="25"/>
      <c r="BZG3" s="25"/>
      <c r="BZH3" s="25"/>
      <c r="BZI3" s="25"/>
      <c r="BZJ3" s="25"/>
      <c r="BZK3" s="25"/>
      <c r="BZL3" s="25"/>
      <c r="BZM3" s="25"/>
      <c r="BZN3" s="25"/>
      <c r="BZO3" s="25"/>
      <c r="BZP3" s="25"/>
      <c r="BZQ3" s="25"/>
      <c r="BZR3" s="25"/>
      <c r="BZS3" s="25"/>
      <c r="BZT3" s="25"/>
      <c r="BZU3" s="25"/>
      <c r="BZV3" s="25"/>
      <c r="BZW3" s="25"/>
      <c r="BZX3" s="25"/>
      <c r="BZY3" s="25"/>
      <c r="BZZ3" s="25"/>
      <c r="CAA3" s="25"/>
      <c r="CAB3" s="25"/>
      <c r="CAC3" s="25"/>
      <c r="CAD3" s="25"/>
      <c r="CAE3" s="25"/>
      <c r="CAF3" s="25"/>
      <c r="CAG3" s="25"/>
      <c r="CAH3" s="25"/>
      <c r="CAI3" s="25"/>
      <c r="CAJ3" s="25"/>
      <c r="CAK3" s="25"/>
      <c r="CAL3" s="25"/>
      <c r="CAM3" s="25"/>
      <c r="CAN3" s="25"/>
      <c r="CAO3" s="25"/>
      <c r="CAP3" s="25"/>
      <c r="CAQ3" s="25"/>
      <c r="CAR3" s="25"/>
      <c r="CAS3" s="25"/>
      <c r="CAT3" s="25"/>
      <c r="CAU3" s="25"/>
      <c r="CAV3" s="25"/>
      <c r="CAW3" s="25"/>
      <c r="CAX3" s="25"/>
      <c r="CAY3" s="25"/>
      <c r="CAZ3" s="25"/>
      <c r="CBA3" s="25"/>
      <c r="CBB3" s="25"/>
      <c r="CBC3" s="25"/>
      <c r="CBD3" s="25"/>
      <c r="CBE3" s="25"/>
      <c r="CBF3" s="25"/>
      <c r="CBG3" s="25"/>
      <c r="CBH3" s="25"/>
      <c r="CBI3" s="25"/>
      <c r="CBJ3" s="25"/>
      <c r="CBK3" s="25"/>
      <c r="CBL3" s="25"/>
      <c r="CBM3" s="25"/>
      <c r="CBN3" s="25"/>
      <c r="CBO3" s="25"/>
      <c r="CBP3" s="25"/>
      <c r="CBQ3" s="25"/>
      <c r="CBR3" s="25"/>
      <c r="CBS3" s="25"/>
      <c r="CBT3" s="25"/>
      <c r="CBU3" s="25"/>
      <c r="CBV3" s="25"/>
      <c r="CBW3" s="25"/>
      <c r="CBX3" s="25"/>
      <c r="CBY3" s="25"/>
      <c r="CBZ3" s="25"/>
      <c r="CCA3" s="25"/>
      <c r="CCB3" s="25"/>
      <c r="CCC3" s="25"/>
      <c r="CCD3" s="25"/>
      <c r="CCE3" s="25"/>
      <c r="CCF3" s="25"/>
      <c r="CCG3" s="25"/>
      <c r="CCH3" s="25"/>
      <c r="CCI3" s="25"/>
      <c r="CCJ3" s="25"/>
      <c r="CCK3" s="25"/>
      <c r="CCL3" s="25"/>
      <c r="CCM3" s="25"/>
      <c r="CCN3" s="25"/>
      <c r="CCO3" s="25"/>
      <c r="CCP3" s="25"/>
      <c r="CCQ3" s="25"/>
      <c r="CCR3" s="25"/>
      <c r="CCS3" s="25"/>
      <c r="CCT3" s="25"/>
      <c r="CCU3" s="25"/>
      <c r="CCV3" s="25"/>
      <c r="CCW3" s="25"/>
      <c r="CCX3" s="25"/>
      <c r="CCY3" s="25"/>
      <c r="CCZ3" s="25"/>
      <c r="CDA3" s="25"/>
      <c r="CDB3" s="25"/>
      <c r="CDC3" s="25"/>
      <c r="CDD3" s="25"/>
      <c r="CDE3" s="25"/>
      <c r="CDF3" s="25"/>
      <c r="CDG3" s="25"/>
      <c r="CDH3" s="25"/>
      <c r="CDI3" s="25"/>
      <c r="CDJ3" s="25"/>
      <c r="CDK3" s="25"/>
      <c r="CDL3" s="25"/>
      <c r="CDM3" s="25"/>
      <c r="CDN3" s="25"/>
      <c r="CDO3" s="25"/>
      <c r="CDP3" s="25"/>
      <c r="CDQ3" s="25"/>
      <c r="CDR3" s="25"/>
      <c r="CDS3" s="25"/>
      <c r="CDT3" s="25"/>
      <c r="CDU3" s="25"/>
      <c r="CDV3" s="25"/>
      <c r="CDW3" s="25"/>
      <c r="CDX3" s="25"/>
      <c r="CDY3" s="25"/>
      <c r="CDZ3" s="25"/>
      <c r="CEA3" s="25"/>
      <c r="CEB3" s="25"/>
      <c r="CEC3" s="25"/>
      <c r="CED3" s="25"/>
      <c r="CEE3" s="25"/>
      <c r="CEF3" s="25"/>
      <c r="CEG3" s="25"/>
      <c r="CEH3" s="25"/>
      <c r="CEI3" s="25"/>
      <c r="CEJ3" s="25"/>
      <c r="CEK3" s="25"/>
      <c r="CEL3" s="25"/>
      <c r="CEM3" s="25"/>
      <c r="CEN3" s="25"/>
      <c r="CEO3" s="25"/>
      <c r="CEP3" s="25"/>
      <c r="CEQ3" s="25"/>
      <c r="CER3" s="25"/>
      <c r="CES3" s="25"/>
      <c r="CET3" s="25"/>
      <c r="CEU3" s="25"/>
      <c r="CEV3" s="25"/>
      <c r="CEW3" s="25"/>
      <c r="CEX3" s="25"/>
      <c r="CEY3" s="25"/>
      <c r="CEZ3" s="25"/>
      <c r="CFA3" s="25"/>
      <c r="CFB3" s="25"/>
      <c r="CFC3" s="25"/>
      <c r="CFD3" s="25"/>
      <c r="CFE3" s="25"/>
      <c r="CFF3" s="25"/>
      <c r="CFG3" s="25"/>
      <c r="CFH3" s="25"/>
      <c r="CFI3" s="25"/>
      <c r="CFJ3" s="25"/>
      <c r="CFK3" s="25"/>
      <c r="CFL3" s="25"/>
      <c r="CFM3" s="25"/>
      <c r="CFN3" s="25"/>
      <c r="CFO3" s="25"/>
      <c r="CFP3" s="25"/>
      <c r="CFQ3" s="25"/>
      <c r="CFR3" s="25"/>
      <c r="CFS3" s="25"/>
      <c r="CFT3" s="25"/>
      <c r="CFU3" s="25"/>
      <c r="CFV3" s="25"/>
      <c r="CFW3" s="25"/>
      <c r="CFX3" s="25"/>
      <c r="CFY3" s="25"/>
      <c r="CFZ3" s="25"/>
      <c r="CGA3" s="25"/>
      <c r="CGB3" s="25"/>
      <c r="CGC3" s="25"/>
      <c r="CGD3" s="25"/>
      <c r="CGE3" s="25"/>
      <c r="CGF3" s="25"/>
      <c r="CGG3" s="25"/>
      <c r="CGH3" s="25"/>
      <c r="CGI3" s="25"/>
      <c r="CGJ3" s="25"/>
      <c r="CGK3" s="25"/>
      <c r="CGL3" s="25"/>
      <c r="CGM3" s="25"/>
      <c r="CGN3" s="25"/>
      <c r="CGO3" s="25"/>
      <c r="CGP3" s="25"/>
      <c r="CGQ3" s="25"/>
      <c r="CGR3" s="25"/>
      <c r="CGS3" s="25"/>
      <c r="CGT3" s="25"/>
      <c r="CGU3" s="25"/>
      <c r="CGV3" s="25"/>
      <c r="CGW3" s="25"/>
      <c r="CGX3" s="25"/>
      <c r="CGY3" s="25"/>
      <c r="CGZ3" s="25"/>
      <c r="CHA3" s="25"/>
      <c r="CHB3" s="25"/>
      <c r="CHC3" s="25"/>
      <c r="CHD3" s="25"/>
      <c r="CHE3" s="25"/>
      <c r="CHF3" s="25"/>
      <c r="CHG3" s="25"/>
      <c r="CHH3" s="25"/>
      <c r="CHI3" s="25"/>
      <c r="CHJ3" s="25"/>
      <c r="CHK3" s="25"/>
      <c r="CHL3" s="25"/>
      <c r="CHM3" s="25"/>
      <c r="CHN3" s="25"/>
      <c r="CHO3" s="25"/>
      <c r="CHP3" s="25"/>
      <c r="CHQ3" s="25"/>
      <c r="CHR3" s="25"/>
      <c r="CHS3" s="25"/>
      <c r="CHT3" s="25"/>
      <c r="CHU3" s="25"/>
      <c r="CHV3" s="25"/>
      <c r="CHW3" s="25"/>
      <c r="CHX3" s="25"/>
      <c r="CHY3" s="25"/>
      <c r="CHZ3" s="25"/>
      <c r="CIA3" s="25"/>
      <c r="CIB3" s="25"/>
      <c r="CIC3" s="25"/>
      <c r="CID3" s="25"/>
      <c r="CIE3" s="25"/>
      <c r="CIF3" s="25"/>
      <c r="CIG3" s="25"/>
      <c r="CIH3" s="25"/>
      <c r="CII3" s="25"/>
      <c r="CIJ3" s="25"/>
      <c r="CIK3" s="25"/>
      <c r="CIL3" s="25"/>
      <c r="CIM3" s="25"/>
      <c r="CIN3" s="25"/>
      <c r="CIO3" s="25"/>
      <c r="CIP3" s="25"/>
      <c r="CIQ3" s="25"/>
      <c r="CIR3" s="25"/>
      <c r="CIS3" s="25"/>
      <c r="CIT3" s="25"/>
      <c r="CIU3" s="25"/>
      <c r="CIV3" s="25"/>
      <c r="CIW3" s="25"/>
      <c r="CIX3" s="25"/>
      <c r="CIY3" s="25"/>
      <c r="CIZ3" s="25"/>
      <c r="CJA3" s="25"/>
      <c r="CJB3" s="25"/>
      <c r="CJC3" s="25"/>
      <c r="CJD3" s="25"/>
      <c r="CJE3" s="25"/>
      <c r="CJF3" s="25"/>
      <c r="CJG3" s="25"/>
      <c r="CJH3" s="25"/>
      <c r="CJI3" s="25"/>
      <c r="CJJ3" s="25"/>
      <c r="CJK3" s="25"/>
      <c r="CJL3" s="25"/>
      <c r="CJM3" s="25"/>
      <c r="CJN3" s="25"/>
      <c r="CJO3" s="25"/>
      <c r="CJP3" s="25"/>
      <c r="CJQ3" s="25"/>
      <c r="CJR3" s="25"/>
      <c r="CJS3" s="25"/>
      <c r="CJT3" s="25"/>
      <c r="CJU3" s="25"/>
      <c r="CJV3" s="25"/>
      <c r="CJW3" s="25"/>
      <c r="CJX3" s="25"/>
      <c r="CJY3" s="25"/>
      <c r="CJZ3" s="25"/>
      <c r="CKA3" s="25"/>
      <c r="CKB3" s="25"/>
      <c r="CKC3" s="25"/>
      <c r="CKD3" s="25"/>
      <c r="CKE3" s="25"/>
      <c r="CKF3" s="25"/>
      <c r="CKG3" s="25"/>
      <c r="CKH3" s="25"/>
      <c r="CKI3" s="25"/>
      <c r="CKJ3" s="25"/>
      <c r="CKK3" s="25"/>
      <c r="CKL3" s="25"/>
      <c r="CKM3" s="25"/>
      <c r="CKN3" s="25"/>
      <c r="CKO3" s="25"/>
      <c r="CKP3" s="25"/>
      <c r="CKQ3" s="25"/>
      <c r="CKR3" s="25"/>
      <c r="CKS3" s="25"/>
      <c r="CKT3" s="25"/>
      <c r="CKU3" s="25"/>
      <c r="CKV3" s="25"/>
      <c r="CKW3" s="25"/>
      <c r="CKX3" s="25"/>
      <c r="CKY3" s="25"/>
      <c r="CKZ3" s="25"/>
      <c r="CLA3" s="25"/>
      <c r="CLB3" s="25"/>
      <c r="CLC3" s="25"/>
      <c r="CLD3" s="25"/>
      <c r="CLE3" s="25"/>
      <c r="CLF3" s="25"/>
      <c r="CLG3" s="25"/>
      <c r="CLH3" s="25"/>
      <c r="CLI3" s="25"/>
      <c r="CLJ3" s="25"/>
      <c r="CLK3" s="25"/>
      <c r="CLL3" s="25"/>
      <c r="CLM3" s="25"/>
      <c r="CLN3" s="25"/>
      <c r="CLO3" s="25"/>
      <c r="CLP3" s="25"/>
      <c r="CLQ3" s="25"/>
      <c r="CLR3" s="25"/>
      <c r="CLS3" s="25"/>
      <c r="CLT3" s="25"/>
      <c r="CLU3" s="25"/>
      <c r="CLV3" s="25"/>
      <c r="CLW3" s="25"/>
      <c r="CLX3" s="25"/>
      <c r="CLY3" s="25"/>
      <c r="CLZ3" s="25"/>
      <c r="CMA3" s="25"/>
      <c r="CMB3" s="25"/>
      <c r="CMC3" s="25"/>
      <c r="CMD3" s="25"/>
      <c r="CME3" s="25"/>
      <c r="CMF3" s="25"/>
      <c r="CMG3" s="25"/>
      <c r="CMH3" s="25"/>
      <c r="CMI3" s="25"/>
      <c r="CMJ3" s="25"/>
      <c r="CMK3" s="25"/>
      <c r="CML3" s="25"/>
      <c r="CMM3" s="25"/>
      <c r="CMN3" s="25"/>
      <c r="CMO3" s="25"/>
      <c r="CMP3" s="25"/>
      <c r="CMQ3" s="25"/>
      <c r="CMR3" s="25"/>
      <c r="CMS3" s="25"/>
      <c r="CMT3" s="25"/>
      <c r="CMU3" s="25"/>
      <c r="CMV3" s="25"/>
      <c r="CMW3" s="25"/>
      <c r="CMX3" s="25"/>
      <c r="CMY3" s="25"/>
      <c r="CMZ3" s="25"/>
      <c r="CNA3" s="25"/>
      <c r="CNB3" s="25"/>
      <c r="CNC3" s="25"/>
      <c r="CND3" s="25"/>
      <c r="CNE3" s="25"/>
      <c r="CNF3" s="25"/>
      <c r="CNG3" s="25"/>
      <c r="CNH3" s="25"/>
      <c r="CNI3" s="25"/>
      <c r="CNJ3" s="25"/>
      <c r="CNK3" s="25"/>
      <c r="CNL3" s="25"/>
      <c r="CNM3" s="25"/>
      <c r="CNN3" s="25"/>
      <c r="CNO3" s="25"/>
      <c r="CNP3" s="25"/>
      <c r="CNQ3" s="25"/>
      <c r="CNR3" s="25"/>
      <c r="CNS3" s="25"/>
      <c r="CNT3" s="25"/>
      <c r="CNU3" s="25"/>
      <c r="CNV3" s="25"/>
      <c r="CNW3" s="25"/>
      <c r="CNX3" s="25"/>
      <c r="CNY3" s="25"/>
      <c r="CNZ3" s="25"/>
      <c r="COA3" s="25"/>
      <c r="COB3" s="25"/>
      <c r="COC3" s="25"/>
      <c r="COD3" s="25"/>
      <c r="COE3" s="25"/>
      <c r="COF3" s="25"/>
      <c r="COG3" s="25"/>
      <c r="COH3" s="25"/>
      <c r="COI3" s="25"/>
      <c r="COJ3" s="25"/>
      <c r="COK3" s="25"/>
      <c r="COL3" s="25"/>
      <c r="COM3" s="25"/>
      <c r="CON3" s="25"/>
      <c r="COO3" s="25"/>
      <c r="COP3" s="25"/>
      <c r="COQ3" s="25"/>
      <c r="COR3" s="25"/>
      <c r="COS3" s="25"/>
      <c r="COT3" s="25"/>
      <c r="COU3" s="25"/>
      <c r="COV3" s="25"/>
      <c r="COW3" s="25"/>
      <c r="COX3" s="25"/>
      <c r="COY3" s="25"/>
      <c r="COZ3" s="25"/>
      <c r="CPA3" s="25"/>
      <c r="CPB3" s="25"/>
      <c r="CPC3" s="25"/>
      <c r="CPD3" s="25"/>
      <c r="CPE3" s="25"/>
      <c r="CPF3" s="25"/>
      <c r="CPG3" s="25"/>
      <c r="CPH3" s="25"/>
      <c r="CPI3" s="25"/>
      <c r="CPJ3" s="25"/>
      <c r="CPK3" s="25"/>
      <c r="CPL3" s="25"/>
      <c r="CPM3" s="25"/>
      <c r="CPN3" s="25"/>
      <c r="CPO3" s="25"/>
      <c r="CPP3" s="25"/>
      <c r="CPQ3" s="25"/>
      <c r="CPR3" s="25"/>
      <c r="CPS3" s="25"/>
      <c r="CPT3" s="25"/>
      <c r="CPU3" s="25"/>
      <c r="CPV3" s="25"/>
      <c r="CPW3" s="25"/>
      <c r="CPX3" s="25"/>
      <c r="CPY3" s="25"/>
      <c r="CPZ3" s="25"/>
      <c r="CQA3" s="25"/>
      <c r="CQB3" s="25"/>
      <c r="CQC3" s="25"/>
      <c r="CQD3" s="25"/>
      <c r="CQE3" s="25"/>
      <c r="CQF3" s="25"/>
      <c r="CQG3" s="25"/>
      <c r="CQH3" s="25"/>
      <c r="CQI3" s="25"/>
      <c r="CQJ3" s="25"/>
      <c r="CQK3" s="25"/>
      <c r="CQL3" s="25"/>
      <c r="CQM3" s="25"/>
      <c r="CQN3" s="25"/>
      <c r="CQO3" s="25"/>
      <c r="CQP3" s="25"/>
      <c r="CQQ3" s="25"/>
      <c r="CQR3" s="25"/>
      <c r="CQS3" s="25"/>
      <c r="CQT3" s="25"/>
      <c r="CQU3" s="25"/>
      <c r="CQV3" s="25"/>
      <c r="CQW3" s="25"/>
      <c r="CQX3" s="25"/>
      <c r="CQY3" s="25"/>
      <c r="CQZ3" s="25"/>
      <c r="CRA3" s="25"/>
      <c r="CRB3" s="25"/>
      <c r="CRC3" s="25"/>
      <c r="CRD3" s="25"/>
      <c r="CRE3" s="25"/>
      <c r="CRF3" s="25"/>
      <c r="CRG3" s="25"/>
      <c r="CRH3" s="25"/>
      <c r="CRI3" s="25"/>
      <c r="CRJ3" s="25"/>
      <c r="CRK3" s="25"/>
      <c r="CRL3" s="25"/>
      <c r="CRM3" s="25"/>
      <c r="CRN3" s="25"/>
      <c r="CRO3" s="25"/>
      <c r="CRP3" s="25"/>
      <c r="CRQ3" s="25"/>
      <c r="CRR3" s="25"/>
      <c r="CRS3" s="25"/>
      <c r="CRT3" s="25"/>
      <c r="CRU3" s="25"/>
      <c r="CRV3" s="25"/>
      <c r="CRW3" s="25"/>
      <c r="CRX3" s="25"/>
      <c r="CRY3" s="25"/>
      <c r="CRZ3" s="25"/>
      <c r="CSA3" s="25"/>
      <c r="CSB3" s="25"/>
      <c r="CSC3" s="25"/>
      <c r="CSD3" s="25"/>
      <c r="CSE3" s="25"/>
      <c r="CSF3" s="25"/>
      <c r="CSG3" s="25"/>
      <c r="CSH3" s="25"/>
      <c r="CSI3" s="25"/>
      <c r="CSJ3" s="25"/>
      <c r="CSK3" s="25"/>
      <c r="CSL3" s="25"/>
      <c r="CSM3" s="25"/>
      <c r="CSN3" s="25"/>
      <c r="CSO3" s="25"/>
      <c r="CSP3" s="25"/>
      <c r="CSQ3" s="25"/>
      <c r="CSR3" s="25"/>
      <c r="CSS3" s="25"/>
      <c r="CST3" s="25"/>
      <c r="CSU3" s="25"/>
      <c r="CSV3" s="25"/>
      <c r="CSW3" s="25"/>
      <c r="CSX3" s="25"/>
      <c r="CSY3" s="25"/>
      <c r="CSZ3" s="25"/>
      <c r="CTA3" s="25"/>
      <c r="CTB3" s="25"/>
      <c r="CTC3" s="25"/>
      <c r="CTD3" s="25"/>
      <c r="CTE3" s="25"/>
      <c r="CTF3" s="25"/>
      <c r="CTG3" s="25"/>
      <c r="CTH3" s="25"/>
      <c r="CTI3" s="25"/>
      <c r="CTJ3" s="25"/>
      <c r="CTK3" s="25"/>
      <c r="CTL3" s="25"/>
      <c r="CTM3" s="25"/>
      <c r="CTN3" s="25"/>
      <c r="CTO3" s="25"/>
      <c r="CTP3" s="25"/>
      <c r="CTQ3" s="25"/>
      <c r="CTR3" s="25"/>
      <c r="CTS3" s="25"/>
      <c r="CTT3" s="25"/>
      <c r="CTU3" s="25"/>
      <c r="CTV3" s="25"/>
      <c r="CTW3" s="25"/>
      <c r="CTX3" s="25"/>
      <c r="CTY3" s="25"/>
      <c r="CTZ3" s="25"/>
      <c r="CUA3" s="25"/>
      <c r="CUB3" s="25"/>
      <c r="CUC3" s="25"/>
      <c r="CUD3" s="25"/>
      <c r="CUE3" s="25"/>
      <c r="CUF3" s="25"/>
      <c r="CUG3" s="25"/>
      <c r="CUH3" s="25"/>
      <c r="CUI3" s="25"/>
      <c r="CUJ3" s="25"/>
      <c r="CUK3" s="25"/>
      <c r="CUL3" s="25"/>
      <c r="CUM3" s="25"/>
      <c r="CUN3" s="25"/>
      <c r="CUO3" s="25"/>
      <c r="CUP3" s="25"/>
      <c r="CUQ3" s="25"/>
      <c r="CUR3" s="25"/>
      <c r="CUS3" s="25"/>
      <c r="CUT3" s="25"/>
      <c r="CUU3" s="25"/>
      <c r="CUV3" s="25"/>
      <c r="CUW3" s="25"/>
      <c r="CUX3" s="25"/>
      <c r="CUY3" s="25"/>
      <c r="CUZ3" s="25"/>
      <c r="CVA3" s="25"/>
      <c r="CVB3" s="25"/>
      <c r="CVC3" s="25"/>
      <c r="CVD3" s="25"/>
      <c r="CVE3" s="25"/>
      <c r="CVF3" s="25"/>
      <c r="CVG3" s="25"/>
      <c r="CVH3" s="25"/>
      <c r="CVI3" s="25"/>
      <c r="CVJ3" s="25"/>
      <c r="CVK3" s="25"/>
      <c r="CVL3" s="25"/>
      <c r="CVM3" s="25"/>
      <c r="CVN3" s="25"/>
      <c r="CVO3" s="25"/>
      <c r="CVP3" s="25"/>
      <c r="CVQ3" s="25"/>
      <c r="CVR3" s="25"/>
      <c r="CVS3" s="25"/>
      <c r="CVT3" s="25"/>
      <c r="CVU3" s="25"/>
      <c r="CVV3" s="25"/>
      <c r="CVW3" s="25"/>
      <c r="CVX3" s="25"/>
      <c r="CVY3" s="25"/>
      <c r="CVZ3" s="25"/>
      <c r="CWA3" s="25"/>
      <c r="CWB3" s="25"/>
      <c r="CWC3" s="25"/>
      <c r="CWD3" s="25"/>
      <c r="CWE3" s="25"/>
      <c r="CWF3" s="25"/>
      <c r="CWG3" s="25"/>
      <c r="CWH3" s="25"/>
      <c r="CWI3" s="25"/>
      <c r="CWJ3" s="25"/>
      <c r="CWK3" s="25"/>
      <c r="CWL3" s="25"/>
      <c r="CWM3" s="25"/>
      <c r="CWN3" s="25"/>
      <c r="CWO3" s="25"/>
      <c r="CWP3" s="25"/>
      <c r="CWQ3" s="25"/>
      <c r="CWR3" s="25"/>
      <c r="CWS3" s="25"/>
      <c r="CWT3" s="25"/>
      <c r="CWU3" s="25"/>
      <c r="CWV3" s="25"/>
      <c r="CWW3" s="25"/>
      <c r="CWX3" s="25"/>
      <c r="CWY3" s="25"/>
      <c r="CWZ3" s="25"/>
      <c r="CXA3" s="25"/>
      <c r="CXB3" s="25"/>
      <c r="CXC3" s="25"/>
      <c r="CXD3" s="25"/>
      <c r="CXE3" s="25"/>
      <c r="CXF3" s="25"/>
      <c r="CXG3" s="25"/>
      <c r="CXH3" s="25"/>
      <c r="CXI3" s="25"/>
      <c r="CXJ3" s="25"/>
      <c r="CXK3" s="25"/>
      <c r="CXL3" s="25"/>
      <c r="CXM3" s="25"/>
      <c r="CXN3" s="25"/>
      <c r="CXO3" s="25"/>
      <c r="CXP3" s="25"/>
      <c r="CXQ3" s="25"/>
      <c r="CXR3" s="25"/>
      <c r="CXS3" s="25"/>
      <c r="CXT3" s="25"/>
      <c r="CXU3" s="25"/>
      <c r="CXV3" s="25"/>
      <c r="CXW3" s="25"/>
      <c r="CXX3" s="25"/>
      <c r="CXY3" s="25"/>
      <c r="CXZ3" s="25"/>
      <c r="CYA3" s="25"/>
      <c r="CYB3" s="25"/>
      <c r="CYC3" s="25"/>
      <c r="CYD3" s="25"/>
      <c r="CYE3" s="25"/>
      <c r="CYF3" s="25"/>
      <c r="CYG3" s="25"/>
      <c r="CYH3" s="25"/>
      <c r="CYI3" s="25"/>
      <c r="CYJ3" s="25"/>
      <c r="CYK3" s="25"/>
      <c r="CYL3" s="25"/>
      <c r="CYM3" s="25"/>
      <c r="CYN3" s="25"/>
      <c r="CYO3" s="25"/>
      <c r="CYP3" s="25"/>
      <c r="CYQ3" s="25"/>
      <c r="CYR3" s="25"/>
      <c r="CYS3" s="25"/>
      <c r="CYT3" s="25"/>
      <c r="CYU3" s="25"/>
      <c r="CYV3" s="25"/>
      <c r="CYW3" s="25"/>
      <c r="CYX3" s="25"/>
      <c r="CYY3" s="25"/>
      <c r="CYZ3" s="25"/>
      <c r="CZA3" s="25"/>
      <c r="CZB3" s="25"/>
      <c r="CZC3" s="25"/>
      <c r="CZD3" s="25"/>
      <c r="CZE3" s="25"/>
      <c r="CZF3" s="25"/>
      <c r="CZG3" s="25"/>
      <c r="CZH3" s="25"/>
      <c r="CZI3" s="25"/>
      <c r="CZJ3" s="25"/>
      <c r="CZK3" s="25"/>
      <c r="CZL3" s="25"/>
      <c r="CZM3" s="25"/>
      <c r="CZN3" s="25"/>
      <c r="CZO3" s="25"/>
      <c r="CZP3" s="25"/>
      <c r="CZQ3" s="25"/>
      <c r="CZR3" s="25"/>
      <c r="CZS3" s="25"/>
      <c r="CZT3" s="25"/>
      <c r="CZU3" s="25"/>
      <c r="CZV3" s="25"/>
      <c r="CZW3" s="25"/>
      <c r="CZX3" s="25"/>
      <c r="CZY3" s="25"/>
      <c r="CZZ3" s="25"/>
      <c r="DAA3" s="25"/>
      <c r="DAB3" s="25"/>
      <c r="DAC3" s="25"/>
      <c r="DAD3" s="25"/>
      <c r="DAE3" s="25"/>
      <c r="DAF3" s="25"/>
      <c r="DAG3" s="25"/>
      <c r="DAH3" s="25"/>
      <c r="DAI3" s="25"/>
      <c r="DAJ3" s="25"/>
      <c r="DAK3" s="25"/>
      <c r="DAL3" s="25"/>
      <c r="DAM3" s="25"/>
      <c r="DAN3" s="25"/>
      <c r="DAO3" s="25"/>
      <c r="DAP3" s="25"/>
      <c r="DAQ3" s="25"/>
      <c r="DAR3" s="25"/>
      <c r="DAS3" s="25"/>
      <c r="DAT3" s="25"/>
      <c r="DAU3" s="25"/>
      <c r="DAV3" s="25"/>
      <c r="DAW3" s="25"/>
      <c r="DAX3" s="25"/>
      <c r="DAY3" s="25"/>
      <c r="DAZ3" s="25"/>
      <c r="DBA3" s="25"/>
      <c r="DBB3" s="25"/>
      <c r="DBC3" s="25"/>
      <c r="DBD3" s="25"/>
      <c r="DBE3" s="25"/>
      <c r="DBF3" s="25"/>
      <c r="DBG3" s="25"/>
      <c r="DBH3" s="25"/>
      <c r="DBI3" s="25"/>
      <c r="DBJ3" s="25"/>
      <c r="DBK3" s="25"/>
      <c r="DBL3" s="25"/>
      <c r="DBM3" s="25"/>
      <c r="DBN3" s="25"/>
      <c r="DBO3" s="25"/>
      <c r="DBP3" s="25"/>
      <c r="DBQ3" s="25"/>
      <c r="DBR3" s="25"/>
      <c r="DBS3" s="25"/>
      <c r="DBT3" s="25"/>
      <c r="DBU3" s="25"/>
      <c r="DBV3" s="25"/>
      <c r="DBW3" s="25"/>
      <c r="DBX3" s="25"/>
      <c r="DBY3" s="25"/>
      <c r="DBZ3" s="25"/>
      <c r="DCA3" s="25"/>
      <c r="DCB3" s="25"/>
      <c r="DCC3" s="25"/>
      <c r="DCD3" s="25"/>
      <c r="DCE3" s="25"/>
      <c r="DCF3" s="25"/>
      <c r="DCG3" s="25"/>
      <c r="DCH3" s="25"/>
      <c r="DCI3" s="25"/>
      <c r="DCJ3" s="25"/>
      <c r="DCK3" s="25"/>
      <c r="DCL3" s="25"/>
      <c r="DCM3" s="25"/>
      <c r="DCN3" s="25"/>
      <c r="DCO3" s="25"/>
      <c r="DCP3" s="25"/>
      <c r="DCQ3" s="25"/>
      <c r="DCR3" s="25"/>
      <c r="DCS3" s="25"/>
      <c r="DCT3" s="25"/>
      <c r="DCU3" s="25"/>
      <c r="DCV3" s="25"/>
      <c r="DCW3" s="25"/>
      <c r="DCX3" s="25"/>
      <c r="DCY3" s="25"/>
      <c r="DCZ3" s="25"/>
      <c r="DDA3" s="25"/>
      <c r="DDB3" s="25"/>
      <c r="DDC3" s="25"/>
      <c r="DDD3" s="25"/>
      <c r="DDE3" s="25"/>
      <c r="DDF3" s="25"/>
      <c r="DDG3" s="25"/>
      <c r="DDH3" s="25"/>
      <c r="DDI3" s="25"/>
    </row>
    <row r="4" customFormat="false" ht="13.8" hidden="false" customHeight="false" outlineLevel="0" collapsed="false">
      <c r="A4" s="13" t="s">
        <v>22</v>
      </c>
      <c r="B4" s="14" t="n">
        <v>29</v>
      </c>
      <c r="C4" s="14" t="n">
        <v>554</v>
      </c>
      <c r="D4" s="15" t="n">
        <v>509</v>
      </c>
      <c r="E4" s="14" t="s">
        <v>33</v>
      </c>
      <c r="F4" s="15" t="n">
        <v>34.09</v>
      </c>
      <c r="I4" s="14" t="s">
        <v>34</v>
      </c>
      <c r="J4" s="14" t="s">
        <v>25</v>
      </c>
      <c r="K4" s="16" t="s">
        <v>35</v>
      </c>
      <c r="L4" s="14" t="n">
        <f aca="false">(100*4)/16</f>
        <v>25</v>
      </c>
      <c r="M4" s="26" t="n">
        <f aca="false">L4/3</f>
        <v>8.33333333333333</v>
      </c>
      <c r="N4" s="18" t="s">
        <v>27</v>
      </c>
      <c r="P4" s="2" t="n">
        <v>542</v>
      </c>
      <c r="Q4" s="2" t="n">
        <f aca="false">P4*1.5</f>
        <v>813</v>
      </c>
      <c r="R4" s="2" t="n">
        <f aca="false">Q4*110</f>
        <v>89430</v>
      </c>
    </row>
    <row r="5" customFormat="false" ht="39.15" hidden="false" customHeight="false" outlineLevel="0" collapsed="false">
      <c r="A5" s="18" t="s">
        <v>22</v>
      </c>
      <c r="B5" s="18" t="n">
        <v>29</v>
      </c>
      <c r="C5" s="18" t="n">
        <v>554</v>
      </c>
      <c r="D5" s="27" t="n">
        <v>517</v>
      </c>
      <c r="E5" s="18" t="s">
        <v>36</v>
      </c>
      <c r="F5" s="28" t="n">
        <v>0</v>
      </c>
      <c r="I5" s="29" t="s">
        <v>37</v>
      </c>
      <c r="J5" s="18" t="s">
        <v>25</v>
      </c>
      <c r="K5" s="30" t="s">
        <v>26</v>
      </c>
      <c r="L5" s="18" t="n">
        <f aca="false">(100*2)/8</f>
        <v>25</v>
      </c>
      <c r="M5" s="31" t="n">
        <f aca="false">L5/3</f>
        <v>8.33333333333333</v>
      </c>
      <c r="N5" s="18" t="s">
        <v>27</v>
      </c>
      <c r="R5" s="2" t="n">
        <f aca="false">R4/2</f>
        <v>44715</v>
      </c>
    </row>
    <row r="6" customFormat="false" ht="26.5" hidden="false" customHeight="false" outlineLevel="0" collapsed="false">
      <c r="A6" s="18" t="s">
        <v>22</v>
      </c>
      <c r="B6" s="18" t="n">
        <v>29</v>
      </c>
      <c r="C6" s="18" t="n">
        <v>554</v>
      </c>
      <c r="D6" s="28" t="n">
        <v>515</v>
      </c>
      <c r="E6" s="18" t="s">
        <v>23</v>
      </c>
      <c r="F6" s="28" t="n">
        <v>92.96</v>
      </c>
      <c r="I6" s="29" t="s">
        <v>38</v>
      </c>
      <c r="J6" s="18" t="s">
        <v>25</v>
      </c>
      <c r="K6" s="30" t="s">
        <v>39</v>
      </c>
      <c r="L6" s="18" t="n">
        <f aca="false">(100*1)/1</f>
        <v>100</v>
      </c>
      <c r="M6" s="31" t="n">
        <f aca="false">L6/3</f>
        <v>33.3333333333333</v>
      </c>
      <c r="N6" s="18" t="s">
        <v>40</v>
      </c>
    </row>
    <row r="7" customFormat="false" ht="26.5" hidden="false" customHeight="false" outlineLevel="0" collapsed="false">
      <c r="A7" s="18" t="s">
        <v>22</v>
      </c>
      <c r="B7" s="18" t="n">
        <v>29</v>
      </c>
      <c r="C7" s="18" t="n">
        <v>554</v>
      </c>
      <c r="D7" s="28" t="n">
        <v>510</v>
      </c>
      <c r="E7" s="18" t="s">
        <v>41</v>
      </c>
      <c r="F7" s="28" t="n">
        <v>35.12</v>
      </c>
      <c r="I7" s="29" t="s">
        <v>42</v>
      </c>
      <c r="J7" s="18" t="s">
        <v>25</v>
      </c>
      <c r="K7" s="30" t="s">
        <v>35</v>
      </c>
      <c r="L7" s="18" t="n">
        <f aca="false">(100*4)/16</f>
        <v>25</v>
      </c>
      <c r="M7" s="31" t="n">
        <f aca="false">L7/3</f>
        <v>8.33333333333333</v>
      </c>
      <c r="N7" s="18" t="s">
        <v>27</v>
      </c>
    </row>
    <row r="8" customFormat="false" ht="37.65" hidden="false" customHeight="true" outlineLevel="0" collapsed="false">
      <c r="A8" s="18" t="s">
        <v>22</v>
      </c>
      <c r="B8" s="32" t="n">
        <v>29</v>
      </c>
      <c r="C8" s="32" t="n">
        <v>554</v>
      </c>
      <c r="D8" s="33" t="n">
        <v>518</v>
      </c>
      <c r="E8" s="34" t="s">
        <v>41</v>
      </c>
      <c r="F8" s="32" t="n">
        <v>84.29</v>
      </c>
      <c r="I8" s="35" t="s">
        <v>43</v>
      </c>
      <c r="J8" s="36" t="s">
        <v>25</v>
      </c>
      <c r="K8" s="37" t="s">
        <v>26</v>
      </c>
      <c r="L8" s="36" t="n">
        <f aca="false">(100*2)/8</f>
        <v>25</v>
      </c>
      <c r="M8" s="38" t="n">
        <f aca="false">L8/3</f>
        <v>8.33333333333333</v>
      </c>
      <c r="N8" s="36" t="s">
        <v>27</v>
      </c>
      <c r="O8" s="39"/>
      <c r="P8" s="39"/>
      <c r="Q8" s="39"/>
      <c r="R8" s="40"/>
      <c r="S8" s="39"/>
      <c r="T8" s="41"/>
      <c r="U8" s="39" t="n">
        <v>554</v>
      </c>
      <c r="V8" s="42" t="n">
        <v>518</v>
      </c>
      <c r="W8" s="39" t="s">
        <v>23</v>
      </c>
      <c r="X8" s="39" t="n">
        <v>92.06</v>
      </c>
      <c r="Y8" s="43" t="s">
        <v>44</v>
      </c>
      <c r="Z8" s="44" t="s">
        <v>45</v>
      </c>
      <c r="AA8" s="41" t="s">
        <v>39</v>
      </c>
      <c r="AB8" s="25" t="n">
        <v>100</v>
      </c>
      <c r="AC8" s="25" t="s">
        <v>22</v>
      </c>
      <c r="AD8" s="39" t="n">
        <v>29</v>
      </c>
      <c r="AE8" s="39" t="n">
        <v>554</v>
      </c>
      <c r="AF8" s="42" t="n">
        <v>518</v>
      </c>
      <c r="AG8" s="39" t="s">
        <v>23</v>
      </c>
      <c r="AH8" s="39" t="n">
        <v>92.06</v>
      </c>
      <c r="AI8" s="43" t="s">
        <v>44</v>
      </c>
      <c r="AJ8" s="44" t="s">
        <v>45</v>
      </c>
      <c r="AK8" s="41" t="s">
        <v>39</v>
      </c>
      <c r="AL8" s="25" t="n">
        <v>100</v>
      </c>
      <c r="AM8" s="25" t="s">
        <v>22</v>
      </c>
      <c r="AN8" s="39" t="n">
        <v>29</v>
      </c>
      <c r="AO8" s="39" t="n">
        <v>554</v>
      </c>
      <c r="AP8" s="42" t="n">
        <v>518</v>
      </c>
      <c r="AQ8" s="39" t="s">
        <v>23</v>
      </c>
      <c r="AR8" s="39" t="n">
        <v>92.06</v>
      </c>
      <c r="AS8" s="43" t="s">
        <v>44</v>
      </c>
      <c r="AT8" s="44" t="s">
        <v>45</v>
      </c>
      <c r="AU8" s="41" t="s">
        <v>39</v>
      </c>
      <c r="AV8" s="25" t="n">
        <v>100</v>
      </c>
      <c r="AW8" s="25" t="s">
        <v>22</v>
      </c>
      <c r="AX8" s="39" t="n">
        <v>29</v>
      </c>
      <c r="AY8" s="39" t="n">
        <v>554</v>
      </c>
      <c r="AZ8" s="42" t="n">
        <v>518</v>
      </c>
      <c r="BA8" s="39" t="s">
        <v>23</v>
      </c>
      <c r="BB8" s="39" t="n">
        <v>92.06</v>
      </c>
      <c r="BC8" s="43" t="s">
        <v>44</v>
      </c>
      <c r="BD8" s="44" t="s">
        <v>45</v>
      </c>
      <c r="BE8" s="41" t="s">
        <v>39</v>
      </c>
      <c r="BF8" s="25" t="n">
        <v>100</v>
      </c>
      <c r="BG8" s="25" t="s">
        <v>22</v>
      </c>
      <c r="BH8" s="39" t="n">
        <v>29</v>
      </c>
      <c r="BI8" s="39" t="n">
        <v>554</v>
      </c>
      <c r="BJ8" s="42" t="n">
        <v>518</v>
      </c>
      <c r="BK8" s="39" t="s">
        <v>23</v>
      </c>
      <c r="BL8" s="39" t="n">
        <v>92.06</v>
      </c>
      <c r="BM8" s="43" t="s">
        <v>44</v>
      </c>
      <c r="BN8" s="44" t="s">
        <v>45</v>
      </c>
      <c r="BO8" s="41" t="s">
        <v>39</v>
      </c>
      <c r="BP8" s="25" t="n">
        <v>100</v>
      </c>
      <c r="BQ8" s="25" t="s">
        <v>22</v>
      </c>
      <c r="BR8" s="39" t="n">
        <v>29</v>
      </c>
      <c r="BS8" s="39" t="n">
        <v>554</v>
      </c>
      <c r="BT8" s="42" t="n">
        <v>518</v>
      </c>
      <c r="BU8" s="39" t="s">
        <v>23</v>
      </c>
      <c r="BV8" s="39" t="n">
        <v>92.06</v>
      </c>
      <c r="BW8" s="43" t="s">
        <v>44</v>
      </c>
      <c r="BX8" s="44" t="s">
        <v>45</v>
      </c>
      <c r="BY8" s="41" t="s">
        <v>39</v>
      </c>
      <c r="BZ8" s="25" t="n">
        <v>100</v>
      </c>
      <c r="CA8" s="25" t="s">
        <v>22</v>
      </c>
      <c r="CB8" s="39" t="n">
        <v>29</v>
      </c>
      <c r="CC8" s="39" t="n">
        <v>554</v>
      </c>
      <c r="CD8" s="42" t="n">
        <v>518</v>
      </c>
      <c r="CE8" s="39" t="s">
        <v>23</v>
      </c>
      <c r="CF8" s="39" t="n">
        <v>92.06</v>
      </c>
      <c r="CG8" s="43" t="s">
        <v>44</v>
      </c>
      <c r="CH8" s="44" t="s">
        <v>45</v>
      </c>
      <c r="CI8" s="41" t="s">
        <v>39</v>
      </c>
      <c r="CJ8" s="25" t="n">
        <v>100</v>
      </c>
      <c r="CK8" s="25" t="s">
        <v>22</v>
      </c>
      <c r="CL8" s="39" t="n">
        <v>29</v>
      </c>
      <c r="CM8" s="39" t="n">
        <v>554</v>
      </c>
      <c r="CN8" s="42" t="n">
        <v>518</v>
      </c>
      <c r="CO8" s="39" t="s">
        <v>23</v>
      </c>
      <c r="CP8" s="39" t="n">
        <v>92.06</v>
      </c>
      <c r="CQ8" s="43" t="s">
        <v>44</v>
      </c>
      <c r="CR8" s="44" t="s">
        <v>45</v>
      </c>
      <c r="CS8" s="41" t="s">
        <v>39</v>
      </c>
      <c r="CT8" s="25" t="n">
        <v>100</v>
      </c>
      <c r="CU8" s="25" t="s">
        <v>22</v>
      </c>
      <c r="CV8" s="39" t="n">
        <v>29</v>
      </c>
      <c r="CW8" s="39" t="n">
        <v>554</v>
      </c>
      <c r="CX8" s="42" t="n">
        <v>518</v>
      </c>
      <c r="CY8" s="39" t="s">
        <v>23</v>
      </c>
      <c r="CZ8" s="39" t="n">
        <v>92.06</v>
      </c>
      <c r="DA8" s="43" t="s">
        <v>44</v>
      </c>
      <c r="DB8" s="44" t="s">
        <v>45</v>
      </c>
      <c r="DC8" s="41" t="s">
        <v>39</v>
      </c>
      <c r="DD8" s="25" t="n">
        <v>100</v>
      </c>
      <c r="DE8" s="25" t="s">
        <v>22</v>
      </c>
      <c r="DF8" s="39" t="n">
        <v>29</v>
      </c>
      <c r="DG8" s="39" t="n">
        <v>554</v>
      </c>
      <c r="DH8" s="42" t="n">
        <v>518</v>
      </c>
      <c r="DI8" s="39" t="s">
        <v>23</v>
      </c>
      <c r="DJ8" s="39" t="n">
        <v>92.06</v>
      </c>
      <c r="DK8" s="43" t="s">
        <v>44</v>
      </c>
      <c r="DL8" s="44" t="s">
        <v>45</v>
      </c>
      <c r="DM8" s="41" t="s">
        <v>39</v>
      </c>
      <c r="DN8" s="25" t="n">
        <v>100</v>
      </c>
      <c r="DO8" s="25" t="s">
        <v>22</v>
      </c>
      <c r="DP8" s="39" t="n">
        <v>29</v>
      </c>
      <c r="DQ8" s="39" t="n">
        <v>554</v>
      </c>
      <c r="DR8" s="42" t="n">
        <v>518</v>
      </c>
      <c r="DS8" s="39" t="s">
        <v>23</v>
      </c>
      <c r="DT8" s="39" t="n">
        <v>92.06</v>
      </c>
      <c r="DU8" s="43" t="s">
        <v>44</v>
      </c>
      <c r="DV8" s="44" t="s">
        <v>45</v>
      </c>
      <c r="DW8" s="41" t="s">
        <v>39</v>
      </c>
      <c r="DX8" s="25" t="n">
        <v>100</v>
      </c>
      <c r="DY8" s="25" t="s">
        <v>22</v>
      </c>
      <c r="DZ8" s="39" t="n">
        <v>29</v>
      </c>
      <c r="EA8" s="39" t="n">
        <v>554</v>
      </c>
      <c r="EB8" s="42" t="n">
        <v>518</v>
      </c>
      <c r="EC8" s="39" t="s">
        <v>23</v>
      </c>
      <c r="ED8" s="39" t="n">
        <v>92.06</v>
      </c>
      <c r="EE8" s="43" t="s">
        <v>44</v>
      </c>
      <c r="EF8" s="44" t="s">
        <v>45</v>
      </c>
      <c r="EG8" s="41" t="s">
        <v>39</v>
      </c>
      <c r="EH8" s="25" t="n">
        <v>100</v>
      </c>
      <c r="EI8" s="25" t="s">
        <v>22</v>
      </c>
      <c r="EJ8" s="39" t="n">
        <v>29</v>
      </c>
      <c r="EK8" s="39" t="n">
        <v>554</v>
      </c>
      <c r="EL8" s="42" t="n">
        <v>518</v>
      </c>
      <c r="EM8" s="39" t="s">
        <v>23</v>
      </c>
      <c r="EN8" s="39" t="n">
        <v>92.06</v>
      </c>
      <c r="EO8" s="43" t="s">
        <v>44</v>
      </c>
      <c r="EP8" s="44" t="s">
        <v>45</v>
      </c>
      <c r="EQ8" s="41" t="s">
        <v>39</v>
      </c>
      <c r="ER8" s="25" t="n">
        <v>100</v>
      </c>
      <c r="ES8" s="25" t="s">
        <v>22</v>
      </c>
      <c r="ET8" s="39" t="n">
        <v>29</v>
      </c>
      <c r="EU8" s="39" t="n">
        <v>554</v>
      </c>
      <c r="EV8" s="42" t="n">
        <v>518</v>
      </c>
      <c r="EW8" s="39" t="s">
        <v>23</v>
      </c>
      <c r="EX8" s="39" t="n">
        <v>92.06</v>
      </c>
      <c r="EY8" s="43" t="s">
        <v>44</v>
      </c>
      <c r="EZ8" s="44" t="s">
        <v>45</v>
      </c>
      <c r="FA8" s="41" t="s">
        <v>39</v>
      </c>
      <c r="FB8" s="25" t="n">
        <v>100</v>
      </c>
      <c r="FC8" s="25" t="s">
        <v>22</v>
      </c>
      <c r="FD8" s="39" t="n">
        <v>29</v>
      </c>
      <c r="FE8" s="39" t="n">
        <v>554</v>
      </c>
      <c r="FF8" s="42" t="n">
        <v>518</v>
      </c>
      <c r="FG8" s="39" t="s">
        <v>23</v>
      </c>
      <c r="FH8" s="39" t="n">
        <v>92.06</v>
      </c>
      <c r="FI8" s="43" t="s">
        <v>44</v>
      </c>
      <c r="FJ8" s="44" t="s">
        <v>45</v>
      </c>
      <c r="FK8" s="41" t="s">
        <v>39</v>
      </c>
      <c r="FL8" s="25" t="n">
        <v>100</v>
      </c>
      <c r="FM8" s="25" t="s">
        <v>22</v>
      </c>
      <c r="FN8" s="39" t="n">
        <v>29</v>
      </c>
      <c r="FO8" s="39" t="n">
        <v>554</v>
      </c>
      <c r="FP8" s="42" t="n">
        <v>518</v>
      </c>
      <c r="FQ8" s="39" t="s">
        <v>23</v>
      </c>
      <c r="FR8" s="39" t="n">
        <v>92.06</v>
      </c>
      <c r="FS8" s="43" t="s">
        <v>44</v>
      </c>
      <c r="FT8" s="44" t="s">
        <v>45</v>
      </c>
      <c r="FU8" s="41" t="s">
        <v>39</v>
      </c>
      <c r="FV8" s="25" t="n">
        <v>100</v>
      </c>
      <c r="FW8" s="25" t="s">
        <v>22</v>
      </c>
      <c r="FX8" s="39" t="n">
        <v>29</v>
      </c>
      <c r="FY8" s="39" t="n">
        <v>554</v>
      </c>
      <c r="FZ8" s="42" t="n">
        <v>518</v>
      </c>
      <c r="GA8" s="39" t="s">
        <v>23</v>
      </c>
      <c r="GB8" s="39" t="n">
        <v>92.06</v>
      </c>
      <c r="GC8" s="43" t="s">
        <v>44</v>
      </c>
      <c r="GD8" s="44" t="s">
        <v>45</v>
      </c>
      <c r="GE8" s="41" t="s">
        <v>39</v>
      </c>
      <c r="GF8" s="25" t="n">
        <v>100</v>
      </c>
      <c r="GG8" s="25" t="s">
        <v>22</v>
      </c>
      <c r="GH8" s="39" t="n">
        <v>29</v>
      </c>
      <c r="GI8" s="39" t="n">
        <v>554</v>
      </c>
      <c r="GJ8" s="42" t="n">
        <v>518</v>
      </c>
      <c r="GK8" s="39" t="s">
        <v>23</v>
      </c>
      <c r="GL8" s="39" t="n">
        <v>92.06</v>
      </c>
      <c r="GM8" s="43" t="s">
        <v>44</v>
      </c>
      <c r="GN8" s="44" t="s">
        <v>45</v>
      </c>
      <c r="GO8" s="41" t="s">
        <v>39</v>
      </c>
      <c r="GP8" s="25" t="n">
        <v>100</v>
      </c>
      <c r="GQ8" s="25" t="s">
        <v>22</v>
      </c>
      <c r="GR8" s="39" t="n">
        <v>29</v>
      </c>
      <c r="GS8" s="39" t="n">
        <v>554</v>
      </c>
      <c r="GT8" s="42" t="n">
        <v>518</v>
      </c>
      <c r="GU8" s="39" t="s">
        <v>23</v>
      </c>
      <c r="GV8" s="39" t="n">
        <v>92.06</v>
      </c>
      <c r="GW8" s="43" t="s">
        <v>44</v>
      </c>
      <c r="GX8" s="44" t="s">
        <v>45</v>
      </c>
      <c r="GY8" s="41" t="s">
        <v>39</v>
      </c>
      <c r="GZ8" s="25" t="n">
        <v>100</v>
      </c>
      <c r="HA8" s="25" t="s">
        <v>22</v>
      </c>
      <c r="HB8" s="39" t="n">
        <v>29</v>
      </c>
      <c r="HC8" s="39" t="n">
        <v>554</v>
      </c>
      <c r="HD8" s="42" t="n">
        <v>518</v>
      </c>
      <c r="HE8" s="39" t="s">
        <v>23</v>
      </c>
      <c r="HF8" s="39" t="n">
        <v>92.06</v>
      </c>
      <c r="HG8" s="43" t="s">
        <v>44</v>
      </c>
      <c r="HH8" s="44" t="s">
        <v>45</v>
      </c>
      <c r="HI8" s="41" t="s">
        <v>39</v>
      </c>
      <c r="HJ8" s="25" t="n">
        <v>100</v>
      </c>
      <c r="HK8" s="25" t="s">
        <v>22</v>
      </c>
      <c r="HL8" s="39" t="n">
        <v>29</v>
      </c>
      <c r="HM8" s="39" t="n">
        <v>554</v>
      </c>
      <c r="HN8" s="42" t="n">
        <v>518</v>
      </c>
      <c r="HO8" s="39" t="s">
        <v>23</v>
      </c>
      <c r="HP8" s="39" t="n">
        <v>92.06</v>
      </c>
      <c r="HQ8" s="43" t="s">
        <v>44</v>
      </c>
      <c r="HR8" s="44" t="s">
        <v>45</v>
      </c>
      <c r="HS8" s="41" t="s">
        <v>39</v>
      </c>
      <c r="HT8" s="25" t="n">
        <v>100</v>
      </c>
      <c r="HU8" s="25" t="s">
        <v>22</v>
      </c>
      <c r="HV8" s="39" t="n">
        <v>29</v>
      </c>
      <c r="HW8" s="39" t="n">
        <v>554</v>
      </c>
      <c r="HX8" s="42" t="n">
        <v>518</v>
      </c>
      <c r="HY8" s="39" t="s">
        <v>23</v>
      </c>
      <c r="HZ8" s="39" t="n">
        <v>92.06</v>
      </c>
      <c r="IA8" s="43" t="s">
        <v>44</v>
      </c>
      <c r="IB8" s="44" t="s">
        <v>45</v>
      </c>
      <c r="IC8" s="41" t="s">
        <v>39</v>
      </c>
      <c r="ID8" s="25" t="n">
        <v>100</v>
      </c>
      <c r="IE8" s="25" t="s">
        <v>22</v>
      </c>
      <c r="IF8" s="39" t="n">
        <v>29</v>
      </c>
      <c r="IG8" s="39" t="n">
        <v>554</v>
      </c>
      <c r="IH8" s="42" t="n">
        <v>518</v>
      </c>
      <c r="II8" s="39" t="s">
        <v>23</v>
      </c>
      <c r="IJ8" s="39" t="n">
        <v>92.06</v>
      </c>
      <c r="IK8" s="43" t="s">
        <v>44</v>
      </c>
      <c r="IL8" s="44" t="s">
        <v>45</v>
      </c>
      <c r="IM8" s="41" t="s">
        <v>39</v>
      </c>
      <c r="IN8" s="25" t="n">
        <v>100</v>
      </c>
      <c r="IO8" s="25" t="s">
        <v>22</v>
      </c>
      <c r="IP8" s="39" t="n">
        <v>29</v>
      </c>
      <c r="IQ8" s="39" t="n">
        <v>554</v>
      </c>
      <c r="IR8" s="42" t="n">
        <v>518</v>
      </c>
      <c r="IS8" s="39" t="s">
        <v>23</v>
      </c>
      <c r="IT8" s="39" t="n">
        <v>92.06</v>
      </c>
      <c r="IU8" s="43" t="s">
        <v>44</v>
      </c>
      <c r="IV8" s="44" t="s">
        <v>45</v>
      </c>
      <c r="IW8" s="41" t="s">
        <v>39</v>
      </c>
      <c r="IX8" s="25" t="n">
        <v>100</v>
      </c>
      <c r="IY8" s="25" t="s">
        <v>22</v>
      </c>
      <c r="IZ8" s="39" t="n">
        <v>29</v>
      </c>
      <c r="JA8" s="39" t="n">
        <v>554</v>
      </c>
      <c r="JB8" s="42" t="n">
        <v>518</v>
      </c>
      <c r="JC8" s="39" t="s">
        <v>23</v>
      </c>
      <c r="JD8" s="39" t="n">
        <v>92.06</v>
      </c>
      <c r="JE8" s="43" t="s">
        <v>44</v>
      </c>
      <c r="JF8" s="44" t="s">
        <v>45</v>
      </c>
      <c r="JG8" s="41" t="s">
        <v>39</v>
      </c>
      <c r="JH8" s="25" t="n">
        <v>100</v>
      </c>
      <c r="JI8" s="25" t="s">
        <v>22</v>
      </c>
      <c r="JJ8" s="39" t="n">
        <v>29</v>
      </c>
      <c r="JK8" s="39" t="n">
        <v>554</v>
      </c>
      <c r="JL8" s="42" t="n">
        <v>518</v>
      </c>
      <c r="JM8" s="39" t="s">
        <v>23</v>
      </c>
      <c r="JN8" s="39" t="n">
        <v>92.06</v>
      </c>
      <c r="JO8" s="43" t="s">
        <v>44</v>
      </c>
      <c r="JP8" s="44" t="s">
        <v>45</v>
      </c>
      <c r="JQ8" s="41" t="s">
        <v>39</v>
      </c>
      <c r="JR8" s="25" t="n">
        <v>100</v>
      </c>
      <c r="JS8" s="25" t="s">
        <v>22</v>
      </c>
      <c r="JT8" s="39" t="n">
        <v>29</v>
      </c>
      <c r="JU8" s="39" t="n">
        <v>554</v>
      </c>
      <c r="JV8" s="42" t="n">
        <v>518</v>
      </c>
      <c r="JW8" s="39" t="s">
        <v>23</v>
      </c>
      <c r="JX8" s="39" t="n">
        <v>92.06</v>
      </c>
      <c r="JY8" s="43" t="s">
        <v>44</v>
      </c>
      <c r="JZ8" s="44" t="s">
        <v>45</v>
      </c>
      <c r="KA8" s="41" t="s">
        <v>39</v>
      </c>
      <c r="KB8" s="25" t="n">
        <v>100</v>
      </c>
      <c r="KC8" s="25" t="s">
        <v>22</v>
      </c>
      <c r="KD8" s="39" t="n">
        <v>29</v>
      </c>
      <c r="KE8" s="39" t="n">
        <v>554</v>
      </c>
      <c r="KF8" s="42" t="n">
        <v>518</v>
      </c>
      <c r="KG8" s="39" t="s">
        <v>23</v>
      </c>
      <c r="KH8" s="39" t="n">
        <v>92.06</v>
      </c>
      <c r="KI8" s="43" t="s">
        <v>44</v>
      </c>
      <c r="KJ8" s="44" t="s">
        <v>45</v>
      </c>
      <c r="KK8" s="41" t="s">
        <v>39</v>
      </c>
      <c r="KL8" s="25" t="n">
        <v>100</v>
      </c>
      <c r="KM8" s="25" t="s">
        <v>22</v>
      </c>
      <c r="KN8" s="39" t="n">
        <v>29</v>
      </c>
      <c r="KO8" s="39" t="n">
        <v>554</v>
      </c>
      <c r="KP8" s="42" t="n">
        <v>518</v>
      </c>
      <c r="KQ8" s="39" t="s">
        <v>23</v>
      </c>
      <c r="KR8" s="39" t="n">
        <v>92.06</v>
      </c>
      <c r="KS8" s="43" t="s">
        <v>44</v>
      </c>
      <c r="KT8" s="44" t="s">
        <v>45</v>
      </c>
      <c r="KU8" s="41" t="s">
        <v>39</v>
      </c>
      <c r="KV8" s="25" t="n">
        <v>100</v>
      </c>
      <c r="KW8" s="25" t="s">
        <v>22</v>
      </c>
      <c r="KX8" s="39" t="n">
        <v>29</v>
      </c>
      <c r="KY8" s="39" t="n">
        <v>554</v>
      </c>
      <c r="KZ8" s="42" t="n">
        <v>518</v>
      </c>
      <c r="LA8" s="39" t="s">
        <v>23</v>
      </c>
      <c r="LB8" s="39" t="n">
        <v>92.06</v>
      </c>
      <c r="LC8" s="43" t="s">
        <v>44</v>
      </c>
      <c r="LD8" s="44" t="s">
        <v>45</v>
      </c>
      <c r="LE8" s="41" t="s">
        <v>39</v>
      </c>
      <c r="LF8" s="25" t="n">
        <v>100</v>
      </c>
      <c r="LG8" s="25" t="s">
        <v>22</v>
      </c>
      <c r="LH8" s="39" t="n">
        <v>29</v>
      </c>
      <c r="LI8" s="39" t="n">
        <v>554</v>
      </c>
      <c r="LJ8" s="42" t="n">
        <v>518</v>
      </c>
      <c r="LK8" s="39" t="s">
        <v>23</v>
      </c>
      <c r="LL8" s="39" t="n">
        <v>92.06</v>
      </c>
      <c r="LM8" s="43" t="s">
        <v>44</v>
      </c>
      <c r="LN8" s="44" t="s">
        <v>45</v>
      </c>
      <c r="LO8" s="41" t="s">
        <v>39</v>
      </c>
      <c r="LP8" s="25" t="n">
        <v>100</v>
      </c>
      <c r="LQ8" s="25" t="s">
        <v>22</v>
      </c>
      <c r="LR8" s="39" t="n">
        <v>29</v>
      </c>
      <c r="LS8" s="39" t="n">
        <v>554</v>
      </c>
      <c r="LT8" s="42" t="n">
        <v>518</v>
      </c>
      <c r="LU8" s="39" t="s">
        <v>23</v>
      </c>
      <c r="LV8" s="39" t="n">
        <v>92.06</v>
      </c>
      <c r="LW8" s="43" t="s">
        <v>44</v>
      </c>
      <c r="LX8" s="44" t="s">
        <v>45</v>
      </c>
      <c r="LY8" s="41" t="s">
        <v>39</v>
      </c>
      <c r="LZ8" s="25" t="n">
        <v>100</v>
      </c>
      <c r="MA8" s="25" t="s">
        <v>22</v>
      </c>
      <c r="MB8" s="39" t="n">
        <v>29</v>
      </c>
      <c r="MC8" s="39" t="n">
        <v>554</v>
      </c>
      <c r="MD8" s="42" t="n">
        <v>518</v>
      </c>
      <c r="ME8" s="39" t="s">
        <v>23</v>
      </c>
      <c r="MF8" s="39" t="n">
        <v>92.06</v>
      </c>
      <c r="MG8" s="43" t="s">
        <v>44</v>
      </c>
      <c r="MH8" s="44" t="s">
        <v>45</v>
      </c>
      <c r="MI8" s="41" t="s">
        <v>39</v>
      </c>
      <c r="MJ8" s="25" t="n">
        <v>100</v>
      </c>
      <c r="MK8" s="25" t="s">
        <v>22</v>
      </c>
      <c r="ML8" s="39" t="n">
        <v>29</v>
      </c>
      <c r="MM8" s="39" t="n">
        <v>554</v>
      </c>
      <c r="MN8" s="42" t="n">
        <v>518</v>
      </c>
      <c r="MO8" s="39" t="s">
        <v>23</v>
      </c>
      <c r="MP8" s="39" t="n">
        <v>92.06</v>
      </c>
      <c r="MQ8" s="43" t="s">
        <v>44</v>
      </c>
      <c r="MR8" s="44" t="s">
        <v>45</v>
      </c>
      <c r="MS8" s="41" t="s">
        <v>39</v>
      </c>
      <c r="MT8" s="25" t="n">
        <v>100</v>
      </c>
      <c r="MU8" s="25" t="s">
        <v>22</v>
      </c>
      <c r="MV8" s="39" t="n">
        <v>29</v>
      </c>
      <c r="MW8" s="39" t="n">
        <v>554</v>
      </c>
      <c r="MX8" s="42" t="n">
        <v>518</v>
      </c>
      <c r="MY8" s="39" t="s">
        <v>23</v>
      </c>
      <c r="MZ8" s="39" t="n">
        <v>92.06</v>
      </c>
      <c r="NA8" s="43" t="s">
        <v>44</v>
      </c>
      <c r="NB8" s="44" t="s">
        <v>45</v>
      </c>
      <c r="NC8" s="41" t="s">
        <v>39</v>
      </c>
      <c r="ND8" s="25" t="n">
        <v>100</v>
      </c>
      <c r="NE8" s="25" t="s">
        <v>22</v>
      </c>
      <c r="NF8" s="39" t="n">
        <v>29</v>
      </c>
      <c r="NG8" s="39" t="n">
        <v>554</v>
      </c>
      <c r="NH8" s="42" t="n">
        <v>518</v>
      </c>
      <c r="NI8" s="39" t="s">
        <v>23</v>
      </c>
      <c r="NJ8" s="39" t="n">
        <v>92.06</v>
      </c>
      <c r="NK8" s="43" t="s">
        <v>44</v>
      </c>
      <c r="NL8" s="44" t="s">
        <v>45</v>
      </c>
      <c r="NM8" s="41" t="s">
        <v>39</v>
      </c>
      <c r="NN8" s="25" t="n">
        <v>100</v>
      </c>
      <c r="NO8" s="25" t="s">
        <v>22</v>
      </c>
      <c r="NP8" s="39" t="n">
        <v>29</v>
      </c>
      <c r="NQ8" s="39" t="n">
        <v>554</v>
      </c>
      <c r="NR8" s="42" t="n">
        <v>518</v>
      </c>
      <c r="NS8" s="39" t="s">
        <v>23</v>
      </c>
      <c r="NT8" s="39" t="n">
        <v>92.06</v>
      </c>
      <c r="NU8" s="43" t="s">
        <v>44</v>
      </c>
      <c r="NV8" s="44" t="s">
        <v>45</v>
      </c>
      <c r="NW8" s="41" t="s">
        <v>39</v>
      </c>
      <c r="NX8" s="25" t="n">
        <v>100</v>
      </c>
      <c r="NY8" s="25" t="s">
        <v>22</v>
      </c>
      <c r="NZ8" s="39" t="n">
        <v>29</v>
      </c>
      <c r="OA8" s="39" t="n">
        <v>554</v>
      </c>
      <c r="OB8" s="42" t="n">
        <v>518</v>
      </c>
      <c r="OC8" s="39" t="s">
        <v>23</v>
      </c>
      <c r="OD8" s="39" t="n">
        <v>92.06</v>
      </c>
      <c r="OE8" s="43" t="s">
        <v>44</v>
      </c>
      <c r="OF8" s="44" t="s">
        <v>45</v>
      </c>
      <c r="OG8" s="41" t="s">
        <v>39</v>
      </c>
      <c r="OH8" s="25" t="n">
        <v>100</v>
      </c>
      <c r="OI8" s="25" t="s">
        <v>22</v>
      </c>
      <c r="OJ8" s="39" t="n">
        <v>29</v>
      </c>
      <c r="OK8" s="39" t="n">
        <v>554</v>
      </c>
      <c r="OL8" s="42" t="n">
        <v>518</v>
      </c>
      <c r="OM8" s="39" t="s">
        <v>23</v>
      </c>
      <c r="ON8" s="39" t="n">
        <v>92.06</v>
      </c>
      <c r="OO8" s="43" t="s">
        <v>44</v>
      </c>
      <c r="OP8" s="44" t="s">
        <v>45</v>
      </c>
      <c r="OQ8" s="41" t="s">
        <v>39</v>
      </c>
      <c r="OR8" s="25" t="n">
        <v>100</v>
      </c>
      <c r="OS8" s="25" t="s">
        <v>22</v>
      </c>
      <c r="OT8" s="39" t="n">
        <v>29</v>
      </c>
      <c r="OU8" s="39" t="n">
        <v>554</v>
      </c>
      <c r="OV8" s="42" t="n">
        <v>518</v>
      </c>
      <c r="OW8" s="39" t="s">
        <v>23</v>
      </c>
      <c r="OX8" s="39" t="n">
        <v>92.06</v>
      </c>
      <c r="OY8" s="43" t="s">
        <v>44</v>
      </c>
      <c r="OZ8" s="44" t="s">
        <v>45</v>
      </c>
      <c r="PA8" s="41" t="s">
        <v>39</v>
      </c>
      <c r="PB8" s="25" t="n">
        <v>100</v>
      </c>
      <c r="PC8" s="25" t="s">
        <v>22</v>
      </c>
      <c r="PD8" s="39" t="n">
        <v>29</v>
      </c>
      <c r="PE8" s="39" t="n">
        <v>554</v>
      </c>
      <c r="PF8" s="42" t="n">
        <v>518</v>
      </c>
      <c r="PG8" s="39" t="s">
        <v>23</v>
      </c>
      <c r="PH8" s="39" t="n">
        <v>92.06</v>
      </c>
      <c r="PI8" s="43" t="s">
        <v>44</v>
      </c>
      <c r="PJ8" s="44" t="s">
        <v>45</v>
      </c>
      <c r="PK8" s="41" t="s">
        <v>39</v>
      </c>
      <c r="PL8" s="25" t="n">
        <v>100</v>
      </c>
      <c r="PM8" s="25" t="s">
        <v>22</v>
      </c>
      <c r="PN8" s="39" t="n">
        <v>29</v>
      </c>
      <c r="PO8" s="39" t="n">
        <v>554</v>
      </c>
      <c r="PP8" s="42" t="n">
        <v>518</v>
      </c>
      <c r="PQ8" s="39" t="s">
        <v>23</v>
      </c>
      <c r="PR8" s="39" t="n">
        <v>92.06</v>
      </c>
      <c r="PS8" s="43" t="s">
        <v>44</v>
      </c>
      <c r="PT8" s="44" t="s">
        <v>45</v>
      </c>
      <c r="PU8" s="41" t="s">
        <v>39</v>
      </c>
      <c r="PV8" s="25" t="n">
        <v>100</v>
      </c>
      <c r="PW8" s="25" t="s">
        <v>22</v>
      </c>
      <c r="PX8" s="39" t="n">
        <v>29</v>
      </c>
      <c r="PY8" s="39" t="n">
        <v>554</v>
      </c>
      <c r="PZ8" s="42" t="n">
        <v>518</v>
      </c>
      <c r="QA8" s="39" t="s">
        <v>23</v>
      </c>
      <c r="QB8" s="39" t="n">
        <v>92.06</v>
      </c>
      <c r="QC8" s="43" t="s">
        <v>44</v>
      </c>
      <c r="QD8" s="44" t="s">
        <v>45</v>
      </c>
      <c r="QE8" s="41" t="s">
        <v>39</v>
      </c>
      <c r="QF8" s="25" t="n">
        <v>100</v>
      </c>
      <c r="QG8" s="25" t="s">
        <v>22</v>
      </c>
      <c r="QH8" s="39" t="n">
        <v>29</v>
      </c>
      <c r="QI8" s="39" t="n">
        <v>554</v>
      </c>
      <c r="QJ8" s="42" t="n">
        <v>518</v>
      </c>
      <c r="QK8" s="39" t="s">
        <v>23</v>
      </c>
      <c r="QL8" s="39" t="n">
        <v>92.06</v>
      </c>
      <c r="QM8" s="43" t="s">
        <v>44</v>
      </c>
      <c r="QN8" s="44" t="s">
        <v>45</v>
      </c>
      <c r="QO8" s="41" t="s">
        <v>39</v>
      </c>
      <c r="QP8" s="25" t="n">
        <v>100</v>
      </c>
      <c r="QQ8" s="25" t="s">
        <v>22</v>
      </c>
      <c r="QR8" s="39" t="n">
        <v>29</v>
      </c>
      <c r="QS8" s="39" t="n">
        <v>554</v>
      </c>
      <c r="QT8" s="42" t="n">
        <v>518</v>
      </c>
      <c r="QU8" s="39" t="s">
        <v>23</v>
      </c>
      <c r="QV8" s="39" t="n">
        <v>92.06</v>
      </c>
      <c r="QW8" s="43" t="s">
        <v>44</v>
      </c>
      <c r="QX8" s="44" t="s">
        <v>45</v>
      </c>
      <c r="QY8" s="41" t="s">
        <v>39</v>
      </c>
      <c r="QZ8" s="25" t="n">
        <v>100</v>
      </c>
      <c r="RA8" s="25" t="s">
        <v>22</v>
      </c>
      <c r="RB8" s="39" t="n">
        <v>29</v>
      </c>
      <c r="RC8" s="39" t="n">
        <v>554</v>
      </c>
      <c r="RD8" s="42" t="n">
        <v>518</v>
      </c>
      <c r="RE8" s="39" t="s">
        <v>23</v>
      </c>
      <c r="RF8" s="39" t="n">
        <v>92.06</v>
      </c>
      <c r="RG8" s="43" t="s">
        <v>44</v>
      </c>
      <c r="RH8" s="44" t="s">
        <v>45</v>
      </c>
      <c r="RI8" s="41" t="s">
        <v>39</v>
      </c>
      <c r="RJ8" s="25" t="n">
        <v>100</v>
      </c>
      <c r="RK8" s="25" t="s">
        <v>22</v>
      </c>
      <c r="RL8" s="39" t="n">
        <v>29</v>
      </c>
      <c r="RM8" s="39" t="n">
        <v>554</v>
      </c>
      <c r="RN8" s="42" t="n">
        <v>518</v>
      </c>
      <c r="RO8" s="39" t="s">
        <v>23</v>
      </c>
      <c r="RP8" s="39" t="n">
        <v>92.06</v>
      </c>
      <c r="RQ8" s="43" t="s">
        <v>44</v>
      </c>
      <c r="RR8" s="44" t="s">
        <v>45</v>
      </c>
      <c r="RS8" s="41" t="s">
        <v>39</v>
      </c>
      <c r="RT8" s="25" t="n">
        <v>100</v>
      </c>
      <c r="RU8" s="25" t="s">
        <v>22</v>
      </c>
      <c r="RV8" s="39" t="n">
        <v>29</v>
      </c>
      <c r="RW8" s="39" t="n">
        <v>554</v>
      </c>
      <c r="RX8" s="42" t="n">
        <v>518</v>
      </c>
      <c r="RY8" s="39" t="s">
        <v>23</v>
      </c>
      <c r="RZ8" s="39" t="n">
        <v>92.06</v>
      </c>
      <c r="SA8" s="43" t="s">
        <v>44</v>
      </c>
      <c r="SB8" s="44" t="s">
        <v>45</v>
      </c>
      <c r="SC8" s="41" t="s">
        <v>39</v>
      </c>
      <c r="SD8" s="25" t="n">
        <v>100</v>
      </c>
      <c r="SE8" s="25" t="s">
        <v>22</v>
      </c>
      <c r="SF8" s="39" t="n">
        <v>29</v>
      </c>
      <c r="SG8" s="39" t="n">
        <v>554</v>
      </c>
      <c r="SH8" s="42" t="n">
        <v>518</v>
      </c>
      <c r="SI8" s="39" t="s">
        <v>23</v>
      </c>
      <c r="SJ8" s="39" t="n">
        <v>92.06</v>
      </c>
      <c r="SK8" s="43" t="s">
        <v>44</v>
      </c>
      <c r="SL8" s="44" t="s">
        <v>45</v>
      </c>
      <c r="SM8" s="41" t="s">
        <v>39</v>
      </c>
      <c r="SN8" s="25" t="n">
        <v>100</v>
      </c>
      <c r="SO8" s="25" t="s">
        <v>22</v>
      </c>
      <c r="SP8" s="39" t="n">
        <v>29</v>
      </c>
      <c r="SQ8" s="39" t="n">
        <v>554</v>
      </c>
      <c r="SR8" s="42" t="n">
        <v>518</v>
      </c>
      <c r="SS8" s="39" t="s">
        <v>23</v>
      </c>
      <c r="ST8" s="39" t="n">
        <v>92.06</v>
      </c>
      <c r="SU8" s="43" t="s">
        <v>44</v>
      </c>
      <c r="SV8" s="44" t="s">
        <v>45</v>
      </c>
      <c r="SW8" s="41" t="s">
        <v>39</v>
      </c>
      <c r="SX8" s="25" t="n">
        <v>100</v>
      </c>
      <c r="SY8" s="25" t="s">
        <v>22</v>
      </c>
      <c r="SZ8" s="39" t="n">
        <v>29</v>
      </c>
      <c r="TA8" s="39" t="n">
        <v>554</v>
      </c>
      <c r="TB8" s="42" t="n">
        <v>518</v>
      </c>
      <c r="TC8" s="39" t="s">
        <v>23</v>
      </c>
      <c r="TD8" s="39" t="n">
        <v>92.06</v>
      </c>
      <c r="TE8" s="43" t="s">
        <v>44</v>
      </c>
      <c r="TF8" s="44" t="s">
        <v>45</v>
      </c>
      <c r="TG8" s="41" t="s">
        <v>39</v>
      </c>
      <c r="TH8" s="25" t="n">
        <v>100</v>
      </c>
      <c r="TI8" s="25" t="s">
        <v>22</v>
      </c>
      <c r="TJ8" s="39" t="n">
        <v>29</v>
      </c>
      <c r="TK8" s="39" t="n">
        <v>554</v>
      </c>
      <c r="TL8" s="42" t="n">
        <v>518</v>
      </c>
      <c r="TM8" s="39" t="s">
        <v>23</v>
      </c>
      <c r="TN8" s="39" t="n">
        <v>92.06</v>
      </c>
      <c r="TO8" s="43" t="s">
        <v>44</v>
      </c>
      <c r="TP8" s="44" t="s">
        <v>45</v>
      </c>
      <c r="TQ8" s="41" t="s">
        <v>39</v>
      </c>
      <c r="TR8" s="25" t="n">
        <v>100</v>
      </c>
      <c r="TS8" s="25" t="s">
        <v>22</v>
      </c>
      <c r="TT8" s="39" t="n">
        <v>29</v>
      </c>
      <c r="TU8" s="39" t="n">
        <v>554</v>
      </c>
      <c r="TV8" s="42" t="n">
        <v>518</v>
      </c>
      <c r="TW8" s="39" t="s">
        <v>23</v>
      </c>
      <c r="TX8" s="39" t="n">
        <v>92.06</v>
      </c>
      <c r="TY8" s="43" t="s">
        <v>44</v>
      </c>
      <c r="TZ8" s="44" t="s">
        <v>45</v>
      </c>
      <c r="UA8" s="41" t="s">
        <v>39</v>
      </c>
      <c r="UB8" s="25" t="n">
        <v>100</v>
      </c>
      <c r="UC8" s="25" t="s">
        <v>22</v>
      </c>
      <c r="UD8" s="39" t="n">
        <v>29</v>
      </c>
      <c r="UE8" s="39" t="n">
        <v>554</v>
      </c>
      <c r="UF8" s="42" t="n">
        <v>518</v>
      </c>
      <c r="UG8" s="39" t="s">
        <v>23</v>
      </c>
      <c r="UH8" s="39" t="n">
        <v>92.06</v>
      </c>
      <c r="UI8" s="43" t="s">
        <v>44</v>
      </c>
      <c r="UJ8" s="44" t="s">
        <v>45</v>
      </c>
      <c r="UK8" s="41" t="s">
        <v>39</v>
      </c>
      <c r="UL8" s="25" t="n">
        <v>100</v>
      </c>
      <c r="UM8" s="25" t="s">
        <v>22</v>
      </c>
      <c r="UN8" s="39" t="n">
        <v>29</v>
      </c>
      <c r="UO8" s="39" t="n">
        <v>554</v>
      </c>
      <c r="UP8" s="42" t="n">
        <v>518</v>
      </c>
      <c r="UQ8" s="39" t="s">
        <v>23</v>
      </c>
      <c r="UR8" s="39" t="n">
        <v>92.06</v>
      </c>
      <c r="US8" s="43" t="s">
        <v>44</v>
      </c>
      <c r="UT8" s="44" t="s">
        <v>45</v>
      </c>
      <c r="UU8" s="41" t="s">
        <v>39</v>
      </c>
      <c r="UV8" s="25" t="n">
        <v>100</v>
      </c>
      <c r="UW8" s="25" t="s">
        <v>22</v>
      </c>
      <c r="UX8" s="39" t="n">
        <v>29</v>
      </c>
      <c r="UY8" s="39" t="n">
        <v>554</v>
      </c>
      <c r="UZ8" s="42" t="n">
        <v>518</v>
      </c>
      <c r="VA8" s="39" t="s">
        <v>23</v>
      </c>
      <c r="VB8" s="39" t="n">
        <v>92.06</v>
      </c>
      <c r="VC8" s="43" t="s">
        <v>44</v>
      </c>
      <c r="VD8" s="44" t="s">
        <v>45</v>
      </c>
      <c r="VE8" s="41" t="s">
        <v>39</v>
      </c>
      <c r="VF8" s="25" t="n">
        <v>100</v>
      </c>
      <c r="VG8" s="25" t="s">
        <v>22</v>
      </c>
      <c r="VH8" s="39" t="n">
        <v>29</v>
      </c>
      <c r="VI8" s="39" t="n">
        <v>554</v>
      </c>
      <c r="VJ8" s="42" t="n">
        <v>518</v>
      </c>
      <c r="VK8" s="39" t="s">
        <v>23</v>
      </c>
      <c r="VL8" s="39" t="n">
        <v>92.06</v>
      </c>
      <c r="VM8" s="43" t="s">
        <v>44</v>
      </c>
      <c r="VN8" s="44" t="s">
        <v>45</v>
      </c>
      <c r="VO8" s="41" t="s">
        <v>39</v>
      </c>
      <c r="VP8" s="25" t="n">
        <v>100</v>
      </c>
      <c r="VQ8" s="25" t="s">
        <v>22</v>
      </c>
      <c r="VR8" s="39" t="n">
        <v>29</v>
      </c>
      <c r="VS8" s="39" t="n">
        <v>554</v>
      </c>
      <c r="VT8" s="42" t="n">
        <v>518</v>
      </c>
      <c r="VU8" s="39" t="s">
        <v>23</v>
      </c>
      <c r="VV8" s="39" t="n">
        <v>92.06</v>
      </c>
      <c r="VW8" s="43" t="s">
        <v>44</v>
      </c>
      <c r="VX8" s="44" t="s">
        <v>45</v>
      </c>
      <c r="VY8" s="41" t="s">
        <v>39</v>
      </c>
      <c r="VZ8" s="25" t="n">
        <v>100</v>
      </c>
      <c r="WA8" s="25" t="s">
        <v>22</v>
      </c>
      <c r="WB8" s="39" t="n">
        <v>29</v>
      </c>
      <c r="WC8" s="39" t="n">
        <v>554</v>
      </c>
      <c r="WD8" s="42" t="n">
        <v>518</v>
      </c>
      <c r="WE8" s="39" t="s">
        <v>23</v>
      </c>
      <c r="WF8" s="39" t="n">
        <v>92.06</v>
      </c>
      <c r="WG8" s="43" t="s">
        <v>44</v>
      </c>
      <c r="WH8" s="44" t="s">
        <v>45</v>
      </c>
      <c r="WI8" s="41" t="s">
        <v>39</v>
      </c>
      <c r="WJ8" s="25" t="n">
        <v>100</v>
      </c>
      <c r="WK8" s="25" t="s">
        <v>22</v>
      </c>
      <c r="WL8" s="39" t="n">
        <v>29</v>
      </c>
      <c r="WM8" s="39" t="n">
        <v>554</v>
      </c>
      <c r="WN8" s="42" t="n">
        <v>518</v>
      </c>
      <c r="WO8" s="39" t="s">
        <v>23</v>
      </c>
      <c r="WP8" s="39" t="n">
        <v>92.06</v>
      </c>
      <c r="WQ8" s="43" t="s">
        <v>44</v>
      </c>
      <c r="WR8" s="44" t="s">
        <v>45</v>
      </c>
      <c r="WS8" s="41" t="s">
        <v>39</v>
      </c>
      <c r="WT8" s="25" t="n">
        <v>100</v>
      </c>
      <c r="WU8" s="25" t="s">
        <v>22</v>
      </c>
      <c r="WV8" s="39" t="n">
        <v>29</v>
      </c>
      <c r="WW8" s="39" t="n">
        <v>554</v>
      </c>
      <c r="WX8" s="42" t="n">
        <v>518</v>
      </c>
      <c r="WY8" s="39" t="s">
        <v>23</v>
      </c>
      <c r="WZ8" s="39" t="n">
        <v>92.06</v>
      </c>
      <c r="XA8" s="43" t="s">
        <v>44</v>
      </c>
      <c r="XB8" s="44" t="s">
        <v>45</v>
      </c>
      <c r="XC8" s="41" t="s">
        <v>39</v>
      </c>
      <c r="XD8" s="25" t="n">
        <v>100</v>
      </c>
      <c r="XE8" s="25" t="s">
        <v>22</v>
      </c>
      <c r="XF8" s="39" t="n">
        <v>29</v>
      </c>
      <c r="XG8" s="39" t="n">
        <v>554</v>
      </c>
      <c r="XH8" s="42" t="n">
        <v>518</v>
      </c>
      <c r="XI8" s="39" t="s">
        <v>23</v>
      </c>
      <c r="XJ8" s="39" t="n">
        <v>92.06</v>
      </c>
      <c r="XK8" s="43" t="s">
        <v>44</v>
      </c>
      <c r="XL8" s="44" t="s">
        <v>45</v>
      </c>
      <c r="XM8" s="41" t="s">
        <v>39</v>
      </c>
      <c r="XN8" s="25" t="n">
        <v>100</v>
      </c>
      <c r="XO8" s="25" t="s">
        <v>22</v>
      </c>
      <c r="XP8" s="39" t="n">
        <v>29</v>
      </c>
      <c r="XQ8" s="39" t="n">
        <v>554</v>
      </c>
      <c r="XR8" s="42" t="n">
        <v>518</v>
      </c>
      <c r="XS8" s="39" t="s">
        <v>23</v>
      </c>
      <c r="XT8" s="39" t="n">
        <v>92.06</v>
      </c>
      <c r="XU8" s="43" t="s">
        <v>44</v>
      </c>
      <c r="XV8" s="44" t="s">
        <v>45</v>
      </c>
      <c r="XW8" s="41" t="s">
        <v>39</v>
      </c>
      <c r="XX8" s="25" t="n">
        <v>100</v>
      </c>
      <c r="XY8" s="25" t="s">
        <v>22</v>
      </c>
      <c r="XZ8" s="39" t="n">
        <v>29</v>
      </c>
      <c r="YA8" s="39" t="n">
        <v>554</v>
      </c>
      <c r="YB8" s="42" t="n">
        <v>518</v>
      </c>
      <c r="YC8" s="39" t="s">
        <v>23</v>
      </c>
      <c r="YD8" s="39" t="n">
        <v>92.06</v>
      </c>
      <c r="YE8" s="43" t="s">
        <v>44</v>
      </c>
      <c r="YF8" s="44" t="s">
        <v>45</v>
      </c>
      <c r="YG8" s="41" t="s">
        <v>39</v>
      </c>
      <c r="YH8" s="25" t="n">
        <v>100</v>
      </c>
      <c r="YI8" s="25" t="s">
        <v>22</v>
      </c>
      <c r="YJ8" s="39" t="n">
        <v>29</v>
      </c>
      <c r="YK8" s="39" t="n">
        <v>554</v>
      </c>
      <c r="YL8" s="42" t="n">
        <v>518</v>
      </c>
      <c r="YM8" s="39" t="s">
        <v>23</v>
      </c>
      <c r="YN8" s="39" t="n">
        <v>92.06</v>
      </c>
      <c r="YO8" s="43" t="s">
        <v>44</v>
      </c>
      <c r="YP8" s="44" t="s">
        <v>45</v>
      </c>
      <c r="YQ8" s="41" t="s">
        <v>39</v>
      </c>
      <c r="YR8" s="25" t="n">
        <v>100</v>
      </c>
      <c r="YS8" s="25" t="s">
        <v>22</v>
      </c>
      <c r="YT8" s="39" t="n">
        <v>29</v>
      </c>
      <c r="YU8" s="39" t="n">
        <v>554</v>
      </c>
      <c r="YV8" s="42" t="n">
        <v>518</v>
      </c>
      <c r="YW8" s="39" t="s">
        <v>23</v>
      </c>
      <c r="YX8" s="39" t="n">
        <v>92.06</v>
      </c>
      <c r="YY8" s="43" t="s">
        <v>44</v>
      </c>
      <c r="YZ8" s="44" t="s">
        <v>45</v>
      </c>
      <c r="ZA8" s="41" t="s">
        <v>39</v>
      </c>
      <c r="ZB8" s="25" t="n">
        <v>100</v>
      </c>
      <c r="ZC8" s="25" t="s">
        <v>22</v>
      </c>
      <c r="ZD8" s="39" t="n">
        <v>29</v>
      </c>
      <c r="ZE8" s="39" t="n">
        <v>554</v>
      </c>
      <c r="ZF8" s="42" t="n">
        <v>518</v>
      </c>
      <c r="ZG8" s="39" t="s">
        <v>23</v>
      </c>
      <c r="ZH8" s="39" t="n">
        <v>92.06</v>
      </c>
      <c r="ZI8" s="43" t="s">
        <v>44</v>
      </c>
      <c r="ZJ8" s="44" t="s">
        <v>45</v>
      </c>
      <c r="ZK8" s="41" t="s">
        <v>39</v>
      </c>
      <c r="ZL8" s="25" t="n">
        <v>100</v>
      </c>
      <c r="ZM8" s="25" t="s">
        <v>22</v>
      </c>
      <c r="ZN8" s="39" t="n">
        <v>29</v>
      </c>
      <c r="ZO8" s="39" t="n">
        <v>554</v>
      </c>
      <c r="ZP8" s="42" t="n">
        <v>518</v>
      </c>
      <c r="ZQ8" s="39" t="s">
        <v>23</v>
      </c>
      <c r="ZR8" s="39" t="n">
        <v>92.06</v>
      </c>
      <c r="ZS8" s="43" t="s">
        <v>44</v>
      </c>
      <c r="ZT8" s="44" t="s">
        <v>45</v>
      </c>
      <c r="ZU8" s="41" t="s">
        <v>39</v>
      </c>
      <c r="ZV8" s="25" t="n">
        <v>100</v>
      </c>
      <c r="ZW8" s="25" t="s">
        <v>22</v>
      </c>
      <c r="ZX8" s="39" t="n">
        <v>29</v>
      </c>
      <c r="ZY8" s="39" t="n">
        <v>554</v>
      </c>
      <c r="ZZ8" s="42" t="n">
        <v>518</v>
      </c>
      <c r="AAA8" s="39" t="s">
        <v>23</v>
      </c>
      <c r="AAB8" s="39" t="n">
        <v>92.06</v>
      </c>
      <c r="AAC8" s="43" t="s">
        <v>44</v>
      </c>
      <c r="AAD8" s="44" t="s">
        <v>45</v>
      </c>
      <c r="AAE8" s="41" t="s">
        <v>39</v>
      </c>
      <c r="AAF8" s="25" t="n">
        <v>100</v>
      </c>
      <c r="AAG8" s="25" t="s">
        <v>22</v>
      </c>
      <c r="AAH8" s="39" t="n">
        <v>29</v>
      </c>
      <c r="AAI8" s="39" t="n">
        <v>554</v>
      </c>
      <c r="AAJ8" s="42" t="n">
        <v>518</v>
      </c>
      <c r="AAK8" s="39" t="s">
        <v>23</v>
      </c>
      <c r="AAL8" s="39" t="n">
        <v>92.06</v>
      </c>
      <c r="AAM8" s="43" t="s">
        <v>44</v>
      </c>
      <c r="AAN8" s="44" t="s">
        <v>45</v>
      </c>
      <c r="AAO8" s="41" t="s">
        <v>39</v>
      </c>
      <c r="AAP8" s="25" t="n">
        <v>100</v>
      </c>
      <c r="AAQ8" s="25" t="s">
        <v>22</v>
      </c>
      <c r="AAR8" s="39" t="n">
        <v>29</v>
      </c>
      <c r="AAS8" s="39" t="n">
        <v>554</v>
      </c>
      <c r="AAT8" s="42" t="n">
        <v>518</v>
      </c>
      <c r="AAU8" s="39" t="s">
        <v>23</v>
      </c>
      <c r="AAV8" s="39" t="n">
        <v>92.06</v>
      </c>
      <c r="AAW8" s="43" t="s">
        <v>44</v>
      </c>
      <c r="AAX8" s="44" t="s">
        <v>45</v>
      </c>
      <c r="AAY8" s="41" t="s">
        <v>39</v>
      </c>
      <c r="AAZ8" s="25" t="n">
        <v>100</v>
      </c>
      <c r="ABA8" s="25" t="s">
        <v>22</v>
      </c>
      <c r="ABB8" s="39" t="n">
        <v>29</v>
      </c>
      <c r="ABC8" s="39" t="n">
        <v>554</v>
      </c>
      <c r="ABD8" s="42" t="n">
        <v>518</v>
      </c>
      <c r="ABE8" s="39" t="s">
        <v>23</v>
      </c>
      <c r="ABF8" s="39" t="n">
        <v>92.06</v>
      </c>
      <c r="ABG8" s="43" t="s">
        <v>44</v>
      </c>
      <c r="ABH8" s="44" t="s">
        <v>45</v>
      </c>
      <c r="ABI8" s="41" t="s">
        <v>39</v>
      </c>
      <c r="ABJ8" s="25" t="n">
        <v>100</v>
      </c>
      <c r="ABK8" s="25" t="s">
        <v>22</v>
      </c>
      <c r="ABL8" s="39" t="n">
        <v>29</v>
      </c>
      <c r="ABM8" s="39" t="n">
        <v>554</v>
      </c>
      <c r="ABN8" s="42" t="n">
        <v>518</v>
      </c>
      <c r="ABO8" s="39" t="s">
        <v>23</v>
      </c>
      <c r="ABP8" s="39" t="n">
        <v>92.06</v>
      </c>
      <c r="ABQ8" s="43" t="s">
        <v>44</v>
      </c>
      <c r="ABR8" s="44" t="s">
        <v>45</v>
      </c>
      <c r="ABS8" s="41" t="s">
        <v>39</v>
      </c>
      <c r="ABT8" s="25" t="n">
        <v>100</v>
      </c>
      <c r="ABU8" s="25" t="s">
        <v>22</v>
      </c>
      <c r="ABV8" s="39" t="n">
        <v>29</v>
      </c>
      <c r="ABW8" s="39" t="n">
        <v>554</v>
      </c>
      <c r="ABX8" s="42" t="n">
        <v>518</v>
      </c>
      <c r="ABY8" s="39" t="s">
        <v>23</v>
      </c>
      <c r="ABZ8" s="39" t="n">
        <v>92.06</v>
      </c>
      <c r="ACA8" s="43" t="s">
        <v>44</v>
      </c>
      <c r="ACB8" s="44" t="s">
        <v>45</v>
      </c>
      <c r="ACC8" s="41" t="s">
        <v>39</v>
      </c>
      <c r="ACD8" s="25" t="n">
        <v>100</v>
      </c>
      <c r="ACE8" s="25" t="s">
        <v>22</v>
      </c>
      <c r="ACF8" s="39" t="n">
        <v>29</v>
      </c>
      <c r="ACG8" s="39" t="n">
        <v>554</v>
      </c>
      <c r="ACH8" s="42" t="n">
        <v>518</v>
      </c>
      <c r="ACI8" s="39" t="s">
        <v>23</v>
      </c>
      <c r="ACJ8" s="39" t="n">
        <v>92.06</v>
      </c>
      <c r="ACK8" s="43" t="s">
        <v>44</v>
      </c>
      <c r="ACL8" s="44" t="s">
        <v>45</v>
      </c>
      <c r="ACM8" s="41" t="s">
        <v>39</v>
      </c>
      <c r="ACN8" s="25" t="n">
        <v>100</v>
      </c>
      <c r="ACO8" s="25" t="s">
        <v>22</v>
      </c>
      <c r="ACP8" s="39" t="n">
        <v>29</v>
      </c>
      <c r="ACQ8" s="39" t="n">
        <v>554</v>
      </c>
      <c r="ACR8" s="42" t="n">
        <v>518</v>
      </c>
      <c r="ACS8" s="39" t="s">
        <v>23</v>
      </c>
      <c r="ACT8" s="39" t="n">
        <v>92.06</v>
      </c>
      <c r="ACU8" s="43" t="s">
        <v>44</v>
      </c>
      <c r="ACV8" s="44" t="s">
        <v>45</v>
      </c>
      <c r="ACW8" s="41" t="s">
        <v>39</v>
      </c>
      <c r="ACX8" s="25" t="n">
        <v>100</v>
      </c>
      <c r="ACY8" s="25" t="s">
        <v>22</v>
      </c>
      <c r="ACZ8" s="39" t="n">
        <v>29</v>
      </c>
      <c r="ADA8" s="39" t="n">
        <v>554</v>
      </c>
      <c r="ADB8" s="42" t="n">
        <v>518</v>
      </c>
      <c r="ADC8" s="39" t="s">
        <v>23</v>
      </c>
      <c r="ADD8" s="39" t="n">
        <v>92.06</v>
      </c>
      <c r="ADE8" s="43" t="s">
        <v>44</v>
      </c>
      <c r="ADF8" s="44" t="s">
        <v>45</v>
      </c>
      <c r="ADG8" s="41" t="s">
        <v>39</v>
      </c>
      <c r="ADH8" s="25" t="n">
        <v>100</v>
      </c>
      <c r="ADI8" s="25" t="s">
        <v>22</v>
      </c>
      <c r="ADJ8" s="39" t="n">
        <v>29</v>
      </c>
      <c r="ADK8" s="39" t="n">
        <v>554</v>
      </c>
      <c r="ADL8" s="42" t="n">
        <v>518</v>
      </c>
      <c r="ADM8" s="39" t="s">
        <v>23</v>
      </c>
      <c r="ADN8" s="39" t="n">
        <v>92.06</v>
      </c>
      <c r="ADO8" s="43" t="s">
        <v>44</v>
      </c>
      <c r="ADP8" s="44" t="s">
        <v>45</v>
      </c>
      <c r="ADQ8" s="41" t="s">
        <v>39</v>
      </c>
      <c r="ADR8" s="25" t="n">
        <v>100</v>
      </c>
      <c r="ADS8" s="25" t="s">
        <v>22</v>
      </c>
      <c r="ADT8" s="39" t="n">
        <v>29</v>
      </c>
      <c r="ADU8" s="39" t="n">
        <v>554</v>
      </c>
      <c r="ADV8" s="42" t="n">
        <v>518</v>
      </c>
      <c r="ADW8" s="39" t="s">
        <v>23</v>
      </c>
      <c r="ADX8" s="39" t="n">
        <v>92.06</v>
      </c>
      <c r="ADY8" s="43" t="s">
        <v>44</v>
      </c>
      <c r="ADZ8" s="44" t="s">
        <v>45</v>
      </c>
      <c r="AEA8" s="41" t="s">
        <v>39</v>
      </c>
      <c r="AEB8" s="25" t="n">
        <v>100</v>
      </c>
      <c r="AEC8" s="25" t="s">
        <v>22</v>
      </c>
      <c r="AED8" s="39" t="n">
        <v>29</v>
      </c>
      <c r="AEE8" s="39" t="n">
        <v>554</v>
      </c>
      <c r="AEF8" s="42" t="n">
        <v>518</v>
      </c>
      <c r="AEG8" s="39" t="s">
        <v>23</v>
      </c>
      <c r="AEH8" s="39" t="n">
        <v>92.06</v>
      </c>
      <c r="AEI8" s="43" t="s">
        <v>44</v>
      </c>
      <c r="AEJ8" s="44" t="s">
        <v>45</v>
      </c>
      <c r="AEK8" s="41" t="s">
        <v>39</v>
      </c>
      <c r="AEL8" s="25" t="n">
        <v>100</v>
      </c>
      <c r="AEM8" s="25" t="s">
        <v>22</v>
      </c>
      <c r="AEN8" s="39" t="n">
        <v>29</v>
      </c>
      <c r="AEO8" s="39" t="n">
        <v>554</v>
      </c>
      <c r="AEP8" s="42" t="n">
        <v>518</v>
      </c>
      <c r="AEQ8" s="39" t="s">
        <v>23</v>
      </c>
      <c r="AER8" s="39" t="n">
        <v>92.06</v>
      </c>
      <c r="AES8" s="43" t="s">
        <v>44</v>
      </c>
      <c r="AET8" s="44" t="s">
        <v>45</v>
      </c>
      <c r="AEU8" s="41" t="s">
        <v>39</v>
      </c>
      <c r="AEV8" s="25" t="n">
        <v>100</v>
      </c>
      <c r="AEW8" s="25" t="s">
        <v>22</v>
      </c>
      <c r="AEX8" s="39" t="n">
        <v>29</v>
      </c>
      <c r="AEY8" s="39" t="n">
        <v>554</v>
      </c>
      <c r="AEZ8" s="42" t="n">
        <v>518</v>
      </c>
      <c r="AFA8" s="39" t="s">
        <v>23</v>
      </c>
      <c r="AFB8" s="39" t="n">
        <v>92.06</v>
      </c>
      <c r="AFC8" s="43" t="s">
        <v>44</v>
      </c>
      <c r="AFD8" s="44" t="s">
        <v>45</v>
      </c>
      <c r="AFE8" s="41" t="s">
        <v>39</v>
      </c>
      <c r="AFF8" s="25" t="n">
        <v>100</v>
      </c>
      <c r="AFG8" s="25" t="s">
        <v>22</v>
      </c>
      <c r="AFH8" s="39" t="n">
        <v>29</v>
      </c>
      <c r="AFI8" s="39" t="n">
        <v>554</v>
      </c>
      <c r="AFJ8" s="42" t="n">
        <v>518</v>
      </c>
      <c r="AFK8" s="39" t="s">
        <v>23</v>
      </c>
      <c r="AFL8" s="39" t="n">
        <v>92.06</v>
      </c>
      <c r="AFM8" s="43" t="s">
        <v>44</v>
      </c>
      <c r="AFN8" s="44" t="s">
        <v>45</v>
      </c>
      <c r="AFO8" s="41" t="s">
        <v>39</v>
      </c>
      <c r="AFP8" s="25" t="n">
        <v>100</v>
      </c>
      <c r="AFQ8" s="25" t="s">
        <v>22</v>
      </c>
      <c r="AFR8" s="39" t="n">
        <v>29</v>
      </c>
      <c r="AFS8" s="39" t="n">
        <v>554</v>
      </c>
      <c r="AFT8" s="42" t="n">
        <v>518</v>
      </c>
      <c r="AFU8" s="39" t="s">
        <v>23</v>
      </c>
      <c r="AFV8" s="39" t="n">
        <v>92.06</v>
      </c>
      <c r="AFW8" s="43" t="s">
        <v>44</v>
      </c>
      <c r="AFX8" s="44" t="s">
        <v>45</v>
      </c>
      <c r="AFY8" s="41" t="s">
        <v>39</v>
      </c>
      <c r="AFZ8" s="25" t="n">
        <v>100</v>
      </c>
      <c r="AGA8" s="25" t="s">
        <v>22</v>
      </c>
      <c r="AGB8" s="39" t="n">
        <v>29</v>
      </c>
      <c r="AGC8" s="39" t="n">
        <v>554</v>
      </c>
      <c r="AGD8" s="42" t="n">
        <v>518</v>
      </c>
      <c r="AGE8" s="39" t="s">
        <v>23</v>
      </c>
      <c r="AGF8" s="39" t="n">
        <v>92.06</v>
      </c>
      <c r="AGG8" s="43" t="s">
        <v>44</v>
      </c>
      <c r="AGH8" s="44" t="s">
        <v>45</v>
      </c>
      <c r="AGI8" s="41" t="s">
        <v>39</v>
      </c>
      <c r="AGJ8" s="25" t="n">
        <v>100</v>
      </c>
      <c r="AGK8" s="25" t="s">
        <v>22</v>
      </c>
      <c r="AGL8" s="39" t="n">
        <v>29</v>
      </c>
      <c r="AGM8" s="39" t="n">
        <v>554</v>
      </c>
      <c r="AGN8" s="42" t="n">
        <v>518</v>
      </c>
      <c r="AGO8" s="39" t="s">
        <v>23</v>
      </c>
      <c r="AGP8" s="39" t="n">
        <v>92.06</v>
      </c>
      <c r="AGQ8" s="43" t="s">
        <v>44</v>
      </c>
      <c r="AGR8" s="44" t="s">
        <v>45</v>
      </c>
      <c r="AGS8" s="41" t="s">
        <v>39</v>
      </c>
      <c r="AGT8" s="25" t="n">
        <v>100</v>
      </c>
      <c r="AGU8" s="25" t="s">
        <v>22</v>
      </c>
      <c r="AGV8" s="39" t="n">
        <v>29</v>
      </c>
      <c r="AGW8" s="39" t="n">
        <v>554</v>
      </c>
      <c r="AGX8" s="42" t="n">
        <v>518</v>
      </c>
      <c r="AGY8" s="39" t="s">
        <v>23</v>
      </c>
      <c r="AGZ8" s="39" t="n">
        <v>92.06</v>
      </c>
      <c r="AHA8" s="43" t="s">
        <v>44</v>
      </c>
      <c r="AHB8" s="44" t="s">
        <v>45</v>
      </c>
      <c r="AHC8" s="41" t="s">
        <v>39</v>
      </c>
      <c r="AHD8" s="25" t="n">
        <v>100</v>
      </c>
      <c r="AHE8" s="25" t="s">
        <v>22</v>
      </c>
      <c r="AHF8" s="39" t="n">
        <v>29</v>
      </c>
      <c r="AHG8" s="39" t="n">
        <v>554</v>
      </c>
      <c r="AHH8" s="42" t="n">
        <v>518</v>
      </c>
      <c r="AHI8" s="39" t="s">
        <v>23</v>
      </c>
      <c r="AHJ8" s="39" t="n">
        <v>92.06</v>
      </c>
      <c r="AHK8" s="43" t="s">
        <v>44</v>
      </c>
      <c r="AHL8" s="44" t="s">
        <v>45</v>
      </c>
      <c r="AHM8" s="41" t="s">
        <v>39</v>
      </c>
      <c r="AHN8" s="25" t="n">
        <v>100</v>
      </c>
      <c r="AHO8" s="25" t="s">
        <v>22</v>
      </c>
      <c r="AHP8" s="39" t="n">
        <v>29</v>
      </c>
      <c r="AHQ8" s="39" t="n">
        <v>554</v>
      </c>
      <c r="AHR8" s="42" t="n">
        <v>518</v>
      </c>
      <c r="AHS8" s="39" t="s">
        <v>23</v>
      </c>
      <c r="AHT8" s="39" t="n">
        <v>92.06</v>
      </c>
      <c r="AHU8" s="43" t="s">
        <v>44</v>
      </c>
      <c r="AHV8" s="44" t="s">
        <v>45</v>
      </c>
      <c r="AHW8" s="41" t="s">
        <v>39</v>
      </c>
      <c r="AHX8" s="25" t="n">
        <v>100</v>
      </c>
      <c r="AHY8" s="25" t="s">
        <v>22</v>
      </c>
      <c r="AHZ8" s="39" t="n">
        <v>29</v>
      </c>
      <c r="AIA8" s="39" t="n">
        <v>554</v>
      </c>
      <c r="AIB8" s="42" t="n">
        <v>518</v>
      </c>
      <c r="AIC8" s="39" t="s">
        <v>23</v>
      </c>
      <c r="AID8" s="39" t="n">
        <v>92.06</v>
      </c>
      <c r="AIE8" s="43" t="s">
        <v>44</v>
      </c>
      <c r="AIF8" s="44" t="s">
        <v>45</v>
      </c>
      <c r="AIG8" s="41" t="s">
        <v>39</v>
      </c>
      <c r="AIH8" s="25" t="n">
        <v>100</v>
      </c>
      <c r="AII8" s="25" t="s">
        <v>22</v>
      </c>
      <c r="AIJ8" s="39" t="n">
        <v>29</v>
      </c>
      <c r="AIK8" s="39" t="n">
        <v>554</v>
      </c>
      <c r="AIL8" s="42" t="n">
        <v>518</v>
      </c>
      <c r="AIM8" s="39" t="s">
        <v>23</v>
      </c>
      <c r="AIN8" s="39" t="n">
        <v>92.06</v>
      </c>
      <c r="AIO8" s="43" t="s">
        <v>44</v>
      </c>
      <c r="AIP8" s="44" t="s">
        <v>45</v>
      </c>
      <c r="AIQ8" s="41" t="s">
        <v>39</v>
      </c>
      <c r="AIR8" s="25" t="n">
        <v>100</v>
      </c>
      <c r="AIS8" s="25" t="s">
        <v>22</v>
      </c>
      <c r="AIT8" s="39" t="n">
        <v>29</v>
      </c>
      <c r="AIU8" s="39" t="n">
        <v>554</v>
      </c>
      <c r="AIV8" s="42" t="n">
        <v>518</v>
      </c>
      <c r="AIW8" s="39" t="s">
        <v>23</v>
      </c>
      <c r="AIX8" s="39" t="n">
        <v>92.06</v>
      </c>
      <c r="AIY8" s="43" t="s">
        <v>44</v>
      </c>
      <c r="AIZ8" s="44" t="s">
        <v>45</v>
      </c>
      <c r="AJA8" s="41" t="s">
        <v>39</v>
      </c>
      <c r="AJB8" s="25" t="n">
        <v>100</v>
      </c>
      <c r="AJC8" s="25" t="s">
        <v>22</v>
      </c>
      <c r="AJD8" s="39" t="n">
        <v>29</v>
      </c>
      <c r="AJE8" s="39" t="n">
        <v>554</v>
      </c>
      <c r="AJF8" s="42" t="n">
        <v>518</v>
      </c>
      <c r="AJG8" s="39" t="s">
        <v>23</v>
      </c>
      <c r="AJH8" s="39" t="n">
        <v>92.06</v>
      </c>
      <c r="AJI8" s="43" t="s">
        <v>44</v>
      </c>
      <c r="AJJ8" s="44" t="s">
        <v>45</v>
      </c>
      <c r="AJK8" s="41" t="s">
        <v>39</v>
      </c>
      <c r="AJL8" s="25" t="n">
        <v>100</v>
      </c>
      <c r="AJM8" s="25" t="s">
        <v>22</v>
      </c>
      <c r="AJN8" s="39" t="n">
        <v>29</v>
      </c>
      <c r="AJO8" s="39" t="n">
        <v>554</v>
      </c>
      <c r="AJP8" s="42" t="n">
        <v>518</v>
      </c>
      <c r="AJQ8" s="39" t="s">
        <v>23</v>
      </c>
      <c r="AJR8" s="39" t="n">
        <v>92.06</v>
      </c>
      <c r="AJS8" s="43" t="s">
        <v>44</v>
      </c>
      <c r="AJT8" s="44" t="s">
        <v>45</v>
      </c>
      <c r="AJU8" s="41" t="s">
        <v>39</v>
      </c>
      <c r="AJV8" s="25" t="n">
        <v>100</v>
      </c>
      <c r="AJW8" s="25" t="s">
        <v>22</v>
      </c>
      <c r="AJX8" s="39" t="n">
        <v>29</v>
      </c>
      <c r="AJY8" s="39" t="n">
        <v>554</v>
      </c>
      <c r="AJZ8" s="42" t="n">
        <v>518</v>
      </c>
      <c r="AKA8" s="39" t="s">
        <v>23</v>
      </c>
      <c r="AKB8" s="39" t="n">
        <v>92.06</v>
      </c>
      <c r="AKC8" s="43" t="s">
        <v>44</v>
      </c>
      <c r="AKD8" s="44" t="s">
        <v>45</v>
      </c>
      <c r="AKE8" s="41" t="s">
        <v>39</v>
      </c>
      <c r="AKF8" s="25" t="n">
        <v>100</v>
      </c>
      <c r="AKG8" s="25" t="s">
        <v>22</v>
      </c>
      <c r="AKH8" s="39" t="n">
        <v>29</v>
      </c>
      <c r="AKI8" s="39" t="n">
        <v>554</v>
      </c>
      <c r="AKJ8" s="42" t="n">
        <v>518</v>
      </c>
      <c r="AKK8" s="39" t="s">
        <v>23</v>
      </c>
      <c r="AKL8" s="39" t="n">
        <v>92.06</v>
      </c>
      <c r="AKM8" s="43" t="s">
        <v>44</v>
      </c>
      <c r="AKN8" s="44" t="s">
        <v>45</v>
      </c>
      <c r="AKO8" s="41" t="s">
        <v>39</v>
      </c>
      <c r="AKP8" s="25" t="n">
        <v>100</v>
      </c>
      <c r="AKQ8" s="25" t="s">
        <v>22</v>
      </c>
      <c r="AKR8" s="39" t="n">
        <v>29</v>
      </c>
      <c r="AKS8" s="39" t="n">
        <v>554</v>
      </c>
      <c r="AKT8" s="42" t="n">
        <v>518</v>
      </c>
      <c r="AKU8" s="39" t="s">
        <v>23</v>
      </c>
      <c r="AKV8" s="39" t="n">
        <v>92.06</v>
      </c>
      <c r="AKW8" s="43" t="s">
        <v>44</v>
      </c>
      <c r="AKX8" s="44" t="s">
        <v>45</v>
      </c>
      <c r="AKY8" s="41" t="s">
        <v>39</v>
      </c>
      <c r="AKZ8" s="25" t="n">
        <v>100</v>
      </c>
      <c r="ALA8" s="25" t="s">
        <v>22</v>
      </c>
      <c r="ALB8" s="39" t="n">
        <v>29</v>
      </c>
      <c r="ALC8" s="39" t="n">
        <v>554</v>
      </c>
      <c r="ALD8" s="42" t="n">
        <v>518</v>
      </c>
      <c r="ALE8" s="39" t="s">
        <v>23</v>
      </c>
      <c r="ALF8" s="39" t="n">
        <v>92.06</v>
      </c>
      <c r="ALG8" s="43" t="s">
        <v>44</v>
      </c>
      <c r="ALH8" s="44" t="s">
        <v>45</v>
      </c>
      <c r="ALI8" s="41" t="s">
        <v>39</v>
      </c>
      <c r="ALJ8" s="25" t="n">
        <v>100</v>
      </c>
      <c r="ALK8" s="25" t="s">
        <v>22</v>
      </c>
      <c r="ALL8" s="39" t="n">
        <v>29</v>
      </c>
      <c r="ALM8" s="39" t="n">
        <v>554</v>
      </c>
      <c r="ALN8" s="42" t="n">
        <v>518</v>
      </c>
      <c r="ALO8" s="39" t="s">
        <v>23</v>
      </c>
      <c r="ALP8" s="39" t="n">
        <v>92.06</v>
      </c>
      <c r="ALQ8" s="43" t="s">
        <v>44</v>
      </c>
      <c r="ALR8" s="44" t="s">
        <v>45</v>
      </c>
      <c r="ALS8" s="41" t="s">
        <v>39</v>
      </c>
      <c r="ALT8" s="25" t="n">
        <v>100</v>
      </c>
      <c r="ALU8" s="25" t="s">
        <v>22</v>
      </c>
      <c r="ALV8" s="39" t="n">
        <v>29</v>
      </c>
      <c r="ALW8" s="39" t="n">
        <v>554</v>
      </c>
      <c r="ALX8" s="42" t="n">
        <v>518</v>
      </c>
      <c r="ALY8" s="39" t="s">
        <v>23</v>
      </c>
      <c r="ALZ8" s="39" t="n">
        <v>92.06</v>
      </c>
      <c r="AMA8" s="43" t="s">
        <v>44</v>
      </c>
      <c r="AMB8" s="44" t="s">
        <v>45</v>
      </c>
      <c r="AMC8" s="41" t="s">
        <v>39</v>
      </c>
      <c r="AMD8" s="25" t="n">
        <v>100</v>
      </c>
      <c r="AME8" s="25" t="s">
        <v>22</v>
      </c>
      <c r="AMF8" s="39" t="n">
        <v>29</v>
      </c>
      <c r="AMG8" s="39" t="n">
        <v>554</v>
      </c>
      <c r="AMH8" s="42" t="n">
        <v>518</v>
      </c>
      <c r="AMI8" s="39" t="s">
        <v>23</v>
      </c>
      <c r="AMJ8" s="39" t="n">
        <v>92.06</v>
      </c>
      <c r="AMK8" s="43" t="s">
        <v>44</v>
      </c>
      <c r="AML8" s="44" t="s">
        <v>45</v>
      </c>
      <c r="AMM8" s="41" t="s">
        <v>39</v>
      </c>
      <c r="AMN8" s="25" t="n">
        <v>100</v>
      </c>
      <c r="AMO8" s="25" t="s">
        <v>22</v>
      </c>
      <c r="AMP8" s="39" t="n">
        <v>29</v>
      </c>
      <c r="AMQ8" s="39" t="n">
        <v>554</v>
      </c>
      <c r="AMR8" s="42" t="n">
        <v>518</v>
      </c>
      <c r="AMS8" s="39" t="s">
        <v>23</v>
      </c>
      <c r="AMT8" s="39" t="n">
        <v>92.06</v>
      </c>
      <c r="AMU8" s="43" t="s">
        <v>44</v>
      </c>
      <c r="AMV8" s="44" t="s">
        <v>45</v>
      </c>
      <c r="AMW8" s="41" t="s">
        <v>39</v>
      </c>
      <c r="AMX8" s="25" t="n">
        <v>100</v>
      </c>
      <c r="AMY8" s="25" t="s">
        <v>22</v>
      </c>
      <c r="AMZ8" s="39" t="n">
        <v>29</v>
      </c>
      <c r="ANA8" s="39" t="n">
        <v>554</v>
      </c>
      <c r="ANB8" s="42" t="n">
        <v>518</v>
      </c>
      <c r="ANC8" s="39" t="s">
        <v>23</v>
      </c>
      <c r="AND8" s="39" t="n">
        <v>92.06</v>
      </c>
      <c r="ANE8" s="43" t="s">
        <v>44</v>
      </c>
      <c r="ANF8" s="44" t="s">
        <v>45</v>
      </c>
      <c r="ANG8" s="41" t="s">
        <v>39</v>
      </c>
      <c r="ANH8" s="25" t="n">
        <v>100</v>
      </c>
      <c r="ANI8" s="25" t="s">
        <v>22</v>
      </c>
      <c r="ANJ8" s="39" t="n">
        <v>29</v>
      </c>
      <c r="ANK8" s="39" t="n">
        <v>554</v>
      </c>
      <c r="ANL8" s="42" t="n">
        <v>518</v>
      </c>
      <c r="ANM8" s="39" t="s">
        <v>23</v>
      </c>
      <c r="ANN8" s="39" t="n">
        <v>92.06</v>
      </c>
      <c r="ANO8" s="43" t="s">
        <v>44</v>
      </c>
      <c r="ANP8" s="44" t="s">
        <v>45</v>
      </c>
      <c r="ANQ8" s="41" t="s">
        <v>39</v>
      </c>
      <c r="ANR8" s="25" t="n">
        <v>100</v>
      </c>
      <c r="ANS8" s="25" t="s">
        <v>22</v>
      </c>
      <c r="ANT8" s="39" t="n">
        <v>29</v>
      </c>
      <c r="ANU8" s="39" t="n">
        <v>554</v>
      </c>
      <c r="ANV8" s="42" t="n">
        <v>518</v>
      </c>
      <c r="ANW8" s="39" t="s">
        <v>23</v>
      </c>
      <c r="ANX8" s="39" t="n">
        <v>92.06</v>
      </c>
      <c r="ANY8" s="43" t="s">
        <v>44</v>
      </c>
      <c r="ANZ8" s="44" t="s">
        <v>45</v>
      </c>
      <c r="AOA8" s="41" t="s">
        <v>39</v>
      </c>
      <c r="AOB8" s="25" t="n">
        <v>100</v>
      </c>
      <c r="AOC8" s="25" t="s">
        <v>22</v>
      </c>
      <c r="AOD8" s="39" t="n">
        <v>29</v>
      </c>
      <c r="AOE8" s="39" t="n">
        <v>554</v>
      </c>
      <c r="AOF8" s="42" t="n">
        <v>518</v>
      </c>
      <c r="AOG8" s="39" t="s">
        <v>23</v>
      </c>
      <c r="AOH8" s="39" t="n">
        <v>92.06</v>
      </c>
      <c r="AOI8" s="43" t="s">
        <v>44</v>
      </c>
      <c r="AOJ8" s="44" t="s">
        <v>45</v>
      </c>
      <c r="AOK8" s="41" t="s">
        <v>39</v>
      </c>
      <c r="AOL8" s="25" t="n">
        <v>100</v>
      </c>
      <c r="AOM8" s="25" t="s">
        <v>22</v>
      </c>
      <c r="AON8" s="39" t="n">
        <v>29</v>
      </c>
      <c r="AOO8" s="39" t="n">
        <v>554</v>
      </c>
      <c r="AOP8" s="42" t="n">
        <v>518</v>
      </c>
      <c r="AOQ8" s="39" t="s">
        <v>23</v>
      </c>
      <c r="AOR8" s="39" t="n">
        <v>92.06</v>
      </c>
      <c r="AOS8" s="43" t="s">
        <v>44</v>
      </c>
      <c r="AOT8" s="44" t="s">
        <v>45</v>
      </c>
      <c r="AOU8" s="41" t="s">
        <v>39</v>
      </c>
      <c r="AOV8" s="25" t="n">
        <v>100</v>
      </c>
      <c r="AOW8" s="25" t="s">
        <v>22</v>
      </c>
      <c r="AOX8" s="39" t="n">
        <v>29</v>
      </c>
      <c r="AOY8" s="39" t="n">
        <v>554</v>
      </c>
      <c r="AOZ8" s="42" t="n">
        <v>518</v>
      </c>
      <c r="APA8" s="39" t="s">
        <v>23</v>
      </c>
      <c r="APB8" s="39" t="n">
        <v>92.06</v>
      </c>
      <c r="APC8" s="43" t="s">
        <v>44</v>
      </c>
      <c r="APD8" s="44" t="s">
        <v>45</v>
      </c>
      <c r="APE8" s="41" t="s">
        <v>39</v>
      </c>
      <c r="APF8" s="25" t="n">
        <v>100</v>
      </c>
      <c r="APG8" s="25" t="s">
        <v>22</v>
      </c>
      <c r="APH8" s="39" t="n">
        <v>29</v>
      </c>
      <c r="API8" s="39" t="n">
        <v>554</v>
      </c>
      <c r="APJ8" s="42" t="n">
        <v>518</v>
      </c>
      <c r="APK8" s="39" t="s">
        <v>23</v>
      </c>
      <c r="APL8" s="39" t="n">
        <v>92.06</v>
      </c>
      <c r="APM8" s="43" t="s">
        <v>44</v>
      </c>
      <c r="APN8" s="44" t="s">
        <v>45</v>
      </c>
      <c r="APO8" s="41" t="s">
        <v>39</v>
      </c>
      <c r="APP8" s="25" t="n">
        <v>100</v>
      </c>
      <c r="APQ8" s="25" t="s">
        <v>22</v>
      </c>
      <c r="APR8" s="39" t="n">
        <v>29</v>
      </c>
      <c r="APS8" s="39" t="n">
        <v>554</v>
      </c>
      <c r="APT8" s="42" t="n">
        <v>518</v>
      </c>
      <c r="APU8" s="39" t="s">
        <v>23</v>
      </c>
      <c r="APV8" s="39" t="n">
        <v>92.06</v>
      </c>
      <c r="APW8" s="43" t="s">
        <v>44</v>
      </c>
      <c r="APX8" s="44" t="s">
        <v>45</v>
      </c>
      <c r="APY8" s="41" t="s">
        <v>39</v>
      </c>
      <c r="APZ8" s="25" t="n">
        <v>100</v>
      </c>
      <c r="AQA8" s="25" t="s">
        <v>22</v>
      </c>
      <c r="AQB8" s="39" t="n">
        <v>29</v>
      </c>
      <c r="AQC8" s="39" t="n">
        <v>554</v>
      </c>
      <c r="AQD8" s="42" t="n">
        <v>518</v>
      </c>
      <c r="AQE8" s="39" t="s">
        <v>23</v>
      </c>
      <c r="AQF8" s="39" t="n">
        <v>92.06</v>
      </c>
      <c r="AQG8" s="43" t="s">
        <v>44</v>
      </c>
      <c r="AQH8" s="44" t="s">
        <v>45</v>
      </c>
      <c r="AQI8" s="41" t="s">
        <v>39</v>
      </c>
      <c r="AQJ8" s="25" t="n">
        <v>100</v>
      </c>
      <c r="AQK8" s="25" t="s">
        <v>22</v>
      </c>
      <c r="AQL8" s="39" t="n">
        <v>29</v>
      </c>
      <c r="AQM8" s="39" t="n">
        <v>554</v>
      </c>
      <c r="AQN8" s="42" t="n">
        <v>518</v>
      </c>
      <c r="AQO8" s="39" t="s">
        <v>23</v>
      </c>
      <c r="AQP8" s="39" t="n">
        <v>92.06</v>
      </c>
      <c r="AQQ8" s="43" t="s">
        <v>44</v>
      </c>
      <c r="AQR8" s="44" t="s">
        <v>45</v>
      </c>
      <c r="AQS8" s="41" t="s">
        <v>39</v>
      </c>
      <c r="AQT8" s="25" t="n">
        <v>100</v>
      </c>
      <c r="AQU8" s="25" t="s">
        <v>22</v>
      </c>
      <c r="AQV8" s="39" t="n">
        <v>29</v>
      </c>
      <c r="AQW8" s="39" t="n">
        <v>554</v>
      </c>
      <c r="AQX8" s="42" t="n">
        <v>518</v>
      </c>
      <c r="AQY8" s="39" t="s">
        <v>23</v>
      </c>
      <c r="AQZ8" s="39" t="n">
        <v>92.06</v>
      </c>
      <c r="ARA8" s="43" t="s">
        <v>44</v>
      </c>
      <c r="ARB8" s="44" t="s">
        <v>45</v>
      </c>
      <c r="ARC8" s="41" t="s">
        <v>39</v>
      </c>
      <c r="ARD8" s="25" t="n">
        <v>100</v>
      </c>
      <c r="ARE8" s="25" t="s">
        <v>22</v>
      </c>
      <c r="ARF8" s="39" t="n">
        <v>29</v>
      </c>
      <c r="ARG8" s="39" t="n">
        <v>554</v>
      </c>
      <c r="ARH8" s="42" t="n">
        <v>518</v>
      </c>
      <c r="ARI8" s="39" t="s">
        <v>23</v>
      </c>
      <c r="ARJ8" s="39" t="n">
        <v>92.06</v>
      </c>
      <c r="ARK8" s="43" t="s">
        <v>44</v>
      </c>
      <c r="ARL8" s="44" t="s">
        <v>45</v>
      </c>
      <c r="ARM8" s="41" t="s">
        <v>39</v>
      </c>
      <c r="ARN8" s="25" t="n">
        <v>100</v>
      </c>
      <c r="ARO8" s="25" t="s">
        <v>22</v>
      </c>
      <c r="ARP8" s="39" t="n">
        <v>29</v>
      </c>
      <c r="ARQ8" s="39" t="n">
        <v>554</v>
      </c>
      <c r="ARR8" s="42" t="n">
        <v>518</v>
      </c>
      <c r="ARS8" s="39" t="s">
        <v>23</v>
      </c>
      <c r="ART8" s="39" t="n">
        <v>92.06</v>
      </c>
      <c r="ARU8" s="43" t="s">
        <v>44</v>
      </c>
      <c r="ARV8" s="44" t="s">
        <v>45</v>
      </c>
      <c r="ARW8" s="41" t="s">
        <v>39</v>
      </c>
      <c r="ARX8" s="25" t="n">
        <v>100</v>
      </c>
      <c r="ARY8" s="25" t="s">
        <v>22</v>
      </c>
      <c r="ARZ8" s="39" t="n">
        <v>29</v>
      </c>
      <c r="ASA8" s="39" t="n">
        <v>554</v>
      </c>
      <c r="ASB8" s="42" t="n">
        <v>518</v>
      </c>
      <c r="ASC8" s="39" t="s">
        <v>23</v>
      </c>
      <c r="ASD8" s="39" t="n">
        <v>92.06</v>
      </c>
      <c r="ASE8" s="43" t="s">
        <v>44</v>
      </c>
      <c r="ASF8" s="44" t="s">
        <v>45</v>
      </c>
      <c r="ASG8" s="41" t="s">
        <v>39</v>
      </c>
      <c r="ASH8" s="25" t="n">
        <v>100</v>
      </c>
      <c r="ASI8" s="25" t="s">
        <v>22</v>
      </c>
      <c r="ASJ8" s="39" t="n">
        <v>29</v>
      </c>
      <c r="ASK8" s="39" t="n">
        <v>554</v>
      </c>
      <c r="ASL8" s="42" t="n">
        <v>518</v>
      </c>
      <c r="ASM8" s="39" t="s">
        <v>23</v>
      </c>
      <c r="ASN8" s="39" t="n">
        <v>92.06</v>
      </c>
      <c r="ASO8" s="43" t="s">
        <v>44</v>
      </c>
      <c r="ASP8" s="44" t="s">
        <v>45</v>
      </c>
      <c r="ASQ8" s="41" t="s">
        <v>39</v>
      </c>
      <c r="ASR8" s="25" t="n">
        <v>100</v>
      </c>
      <c r="ASS8" s="25" t="s">
        <v>22</v>
      </c>
      <c r="AST8" s="39" t="n">
        <v>29</v>
      </c>
      <c r="ASU8" s="39" t="n">
        <v>554</v>
      </c>
      <c r="ASV8" s="42" t="n">
        <v>518</v>
      </c>
      <c r="ASW8" s="39" t="s">
        <v>23</v>
      </c>
      <c r="ASX8" s="39" t="n">
        <v>92.06</v>
      </c>
      <c r="ASY8" s="43" t="s">
        <v>44</v>
      </c>
      <c r="ASZ8" s="44" t="s">
        <v>45</v>
      </c>
      <c r="ATA8" s="41" t="s">
        <v>39</v>
      </c>
      <c r="ATB8" s="25" t="n">
        <v>100</v>
      </c>
      <c r="ATC8" s="25" t="s">
        <v>22</v>
      </c>
      <c r="ATD8" s="39" t="n">
        <v>29</v>
      </c>
      <c r="ATE8" s="39" t="n">
        <v>554</v>
      </c>
      <c r="ATF8" s="42" t="n">
        <v>518</v>
      </c>
      <c r="ATG8" s="39" t="s">
        <v>23</v>
      </c>
      <c r="ATH8" s="39" t="n">
        <v>92.06</v>
      </c>
      <c r="ATI8" s="43" t="s">
        <v>44</v>
      </c>
      <c r="ATJ8" s="44" t="s">
        <v>45</v>
      </c>
      <c r="ATK8" s="41" t="s">
        <v>39</v>
      </c>
      <c r="ATL8" s="25" t="n">
        <v>100</v>
      </c>
      <c r="ATM8" s="25" t="s">
        <v>22</v>
      </c>
      <c r="ATN8" s="39" t="n">
        <v>29</v>
      </c>
      <c r="ATO8" s="39" t="n">
        <v>554</v>
      </c>
      <c r="ATP8" s="42" t="n">
        <v>518</v>
      </c>
      <c r="ATQ8" s="39" t="s">
        <v>23</v>
      </c>
      <c r="ATR8" s="39" t="n">
        <v>92.06</v>
      </c>
      <c r="ATS8" s="43" t="s">
        <v>44</v>
      </c>
      <c r="ATT8" s="44" t="s">
        <v>45</v>
      </c>
      <c r="ATU8" s="41" t="s">
        <v>39</v>
      </c>
      <c r="ATV8" s="25" t="n">
        <v>100</v>
      </c>
      <c r="ATW8" s="25" t="s">
        <v>22</v>
      </c>
      <c r="ATX8" s="39" t="n">
        <v>29</v>
      </c>
      <c r="ATY8" s="39" t="n">
        <v>554</v>
      </c>
      <c r="ATZ8" s="42" t="n">
        <v>518</v>
      </c>
      <c r="AUA8" s="39" t="s">
        <v>23</v>
      </c>
      <c r="AUB8" s="39" t="n">
        <v>92.06</v>
      </c>
      <c r="AUC8" s="43" t="s">
        <v>44</v>
      </c>
      <c r="AUD8" s="44" t="s">
        <v>45</v>
      </c>
      <c r="AUE8" s="41" t="s">
        <v>39</v>
      </c>
      <c r="AUF8" s="25" t="n">
        <v>100</v>
      </c>
      <c r="AUG8" s="25" t="s">
        <v>22</v>
      </c>
      <c r="AUH8" s="39" t="n">
        <v>29</v>
      </c>
      <c r="AUI8" s="39" t="n">
        <v>554</v>
      </c>
      <c r="AUJ8" s="42" t="n">
        <v>518</v>
      </c>
      <c r="AUK8" s="39" t="s">
        <v>23</v>
      </c>
      <c r="AUL8" s="39" t="n">
        <v>92.06</v>
      </c>
      <c r="AUM8" s="43" t="s">
        <v>44</v>
      </c>
      <c r="AUN8" s="44" t="s">
        <v>45</v>
      </c>
      <c r="AUO8" s="41" t="s">
        <v>39</v>
      </c>
      <c r="AUP8" s="25" t="n">
        <v>100</v>
      </c>
      <c r="AUQ8" s="25" t="s">
        <v>22</v>
      </c>
      <c r="AUR8" s="39" t="n">
        <v>29</v>
      </c>
      <c r="AUS8" s="39" t="n">
        <v>554</v>
      </c>
      <c r="AUT8" s="42" t="n">
        <v>518</v>
      </c>
      <c r="AUU8" s="39" t="s">
        <v>23</v>
      </c>
      <c r="AUV8" s="39" t="n">
        <v>92.06</v>
      </c>
      <c r="AUW8" s="43" t="s">
        <v>44</v>
      </c>
      <c r="AUX8" s="44" t="s">
        <v>45</v>
      </c>
      <c r="AUY8" s="41" t="s">
        <v>39</v>
      </c>
      <c r="AUZ8" s="25" t="n">
        <v>100</v>
      </c>
      <c r="AVA8" s="25" t="s">
        <v>22</v>
      </c>
      <c r="AVB8" s="39" t="n">
        <v>29</v>
      </c>
      <c r="AVC8" s="39" t="n">
        <v>554</v>
      </c>
      <c r="AVD8" s="42" t="n">
        <v>518</v>
      </c>
      <c r="AVE8" s="39" t="s">
        <v>23</v>
      </c>
      <c r="AVF8" s="39" t="n">
        <v>92.06</v>
      </c>
      <c r="AVG8" s="43" t="s">
        <v>44</v>
      </c>
      <c r="AVH8" s="44" t="s">
        <v>45</v>
      </c>
      <c r="AVI8" s="41" t="s">
        <v>39</v>
      </c>
      <c r="AVJ8" s="25" t="n">
        <v>100</v>
      </c>
      <c r="AVK8" s="25" t="s">
        <v>22</v>
      </c>
      <c r="AVL8" s="39" t="n">
        <v>29</v>
      </c>
      <c r="AVM8" s="39" t="n">
        <v>554</v>
      </c>
      <c r="AVN8" s="42" t="n">
        <v>518</v>
      </c>
      <c r="AVO8" s="39" t="s">
        <v>23</v>
      </c>
      <c r="AVP8" s="39" t="n">
        <v>92.06</v>
      </c>
      <c r="AVQ8" s="43" t="s">
        <v>44</v>
      </c>
      <c r="AVR8" s="44" t="s">
        <v>45</v>
      </c>
      <c r="AVS8" s="41" t="s">
        <v>39</v>
      </c>
      <c r="AVT8" s="25" t="n">
        <v>100</v>
      </c>
      <c r="AVU8" s="25" t="s">
        <v>22</v>
      </c>
      <c r="AVV8" s="39" t="n">
        <v>29</v>
      </c>
      <c r="AVW8" s="39" t="n">
        <v>554</v>
      </c>
      <c r="AVX8" s="42" t="n">
        <v>518</v>
      </c>
      <c r="AVY8" s="39" t="s">
        <v>23</v>
      </c>
      <c r="AVZ8" s="39" t="n">
        <v>92.06</v>
      </c>
      <c r="AWA8" s="43" t="s">
        <v>44</v>
      </c>
      <c r="AWB8" s="44" t="s">
        <v>45</v>
      </c>
      <c r="AWC8" s="41" t="s">
        <v>39</v>
      </c>
      <c r="AWD8" s="25" t="n">
        <v>100</v>
      </c>
      <c r="AWE8" s="25" t="s">
        <v>22</v>
      </c>
      <c r="AWF8" s="39" t="n">
        <v>29</v>
      </c>
      <c r="AWG8" s="39" t="n">
        <v>554</v>
      </c>
      <c r="AWH8" s="42" t="n">
        <v>518</v>
      </c>
      <c r="AWI8" s="39" t="s">
        <v>23</v>
      </c>
      <c r="AWJ8" s="39" t="n">
        <v>92.06</v>
      </c>
      <c r="AWK8" s="43" t="s">
        <v>44</v>
      </c>
      <c r="AWL8" s="44" t="s">
        <v>45</v>
      </c>
      <c r="AWM8" s="41" t="s">
        <v>39</v>
      </c>
      <c r="AWN8" s="25" t="n">
        <v>100</v>
      </c>
      <c r="AWO8" s="25" t="s">
        <v>22</v>
      </c>
      <c r="AWP8" s="39" t="n">
        <v>29</v>
      </c>
      <c r="AWQ8" s="39" t="n">
        <v>554</v>
      </c>
      <c r="AWR8" s="42" t="n">
        <v>518</v>
      </c>
      <c r="AWS8" s="39" t="s">
        <v>23</v>
      </c>
      <c r="AWT8" s="39" t="n">
        <v>92.06</v>
      </c>
      <c r="AWU8" s="43" t="s">
        <v>44</v>
      </c>
      <c r="AWV8" s="44" t="s">
        <v>45</v>
      </c>
      <c r="AWW8" s="41" t="s">
        <v>39</v>
      </c>
      <c r="AWX8" s="25" t="n">
        <v>100</v>
      </c>
      <c r="AWY8" s="25" t="s">
        <v>22</v>
      </c>
      <c r="AWZ8" s="39" t="n">
        <v>29</v>
      </c>
      <c r="AXA8" s="39" t="n">
        <v>554</v>
      </c>
      <c r="AXB8" s="42" t="n">
        <v>518</v>
      </c>
      <c r="AXC8" s="39" t="s">
        <v>23</v>
      </c>
      <c r="AXD8" s="39" t="n">
        <v>92.06</v>
      </c>
      <c r="AXE8" s="43" t="s">
        <v>44</v>
      </c>
      <c r="AXF8" s="44" t="s">
        <v>45</v>
      </c>
      <c r="AXG8" s="41" t="s">
        <v>39</v>
      </c>
      <c r="AXH8" s="25" t="n">
        <v>100</v>
      </c>
      <c r="AXI8" s="25" t="s">
        <v>22</v>
      </c>
      <c r="AXJ8" s="39" t="n">
        <v>29</v>
      </c>
      <c r="AXK8" s="39" t="n">
        <v>554</v>
      </c>
      <c r="AXL8" s="42" t="n">
        <v>518</v>
      </c>
      <c r="AXM8" s="39" t="s">
        <v>23</v>
      </c>
      <c r="AXN8" s="39" t="n">
        <v>92.06</v>
      </c>
      <c r="AXO8" s="43" t="s">
        <v>44</v>
      </c>
      <c r="AXP8" s="44" t="s">
        <v>45</v>
      </c>
      <c r="AXQ8" s="41" t="s">
        <v>39</v>
      </c>
      <c r="AXR8" s="25" t="n">
        <v>100</v>
      </c>
      <c r="AXS8" s="25" t="s">
        <v>22</v>
      </c>
      <c r="AXT8" s="39" t="n">
        <v>29</v>
      </c>
      <c r="AXU8" s="39" t="n">
        <v>554</v>
      </c>
      <c r="AXV8" s="42" t="n">
        <v>518</v>
      </c>
      <c r="AXW8" s="39" t="s">
        <v>23</v>
      </c>
      <c r="AXX8" s="39" t="n">
        <v>92.06</v>
      </c>
      <c r="AXY8" s="43" t="s">
        <v>44</v>
      </c>
      <c r="AXZ8" s="44" t="s">
        <v>45</v>
      </c>
      <c r="AYA8" s="41" t="s">
        <v>39</v>
      </c>
      <c r="AYB8" s="25" t="n">
        <v>100</v>
      </c>
      <c r="AYC8" s="25" t="s">
        <v>22</v>
      </c>
      <c r="AYD8" s="39" t="n">
        <v>29</v>
      </c>
      <c r="AYE8" s="39" t="n">
        <v>554</v>
      </c>
      <c r="AYF8" s="42" t="n">
        <v>518</v>
      </c>
      <c r="AYG8" s="39" t="s">
        <v>23</v>
      </c>
      <c r="AYH8" s="39" t="n">
        <v>92.06</v>
      </c>
      <c r="AYI8" s="43" t="s">
        <v>44</v>
      </c>
      <c r="AYJ8" s="44" t="s">
        <v>45</v>
      </c>
      <c r="AYK8" s="41" t="s">
        <v>39</v>
      </c>
      <c r="AYL8" s="25" t="n">
        <v>100</v>
      </c>
      <c r="AYM8" s="25" t="s">
        <v>22</v>
      </c>
      <c r="AYN8" s="39" t="n">
        <v>29</v>
      </c>
      <c r="AYO8" s="39" t="n">
        <v>554</v>
      </c>
      <c r="AYP8" s="42" t="n">
        <v>518</v>
      </c>
      <c r="AYQ8" s="39" t="s">
        <v>23</v>
      </c>
      <c r="AYR8" s="39" t="n">
        <v>92.06</v>
      </c>
      <c r="AYS8" s="43" t="s">
        <v>44</v>
      </c>
      <c r="AYT8" s="44" t="s">
        <v>45</v>
      </c>
      <c r="AYU8" s="41" t="s">
        <v>39</v>
      </c>
      <c r="AYV8" s="25" t="n">
        <v>100</v>
      </c>
      <c r="AYW8" s="25" t="s">
        <v>22</v>
      </c>
      <c r="AYX8" s="39" t="n">
        <v>29</v>
      </c>
      <c r="AYY8" s="39" t="n">
        <v>554</v>
      </c>
      <c r="AYZ8" s="42" t="n">
        <v>518</v>
      </c>
      <c r="AZA8" s="39" t="s">
        <v>23</v>
      </c>
      <c r="AZB8" s="39" t="n">
        <v>92.06</v>
      </c>
      <c r="AZC8" s="43" t="s">
        <v>44</v>
      </c>
      <c r="AZD8" s="44" t="s">
        <v>45</v>
      </c>
      <c r="AZE8" s="41" t="s">
        <v>39</v>
      </c>
      <c r="AZF8" s="25" t="n">
        <v>100</v>
      </c>
      <c r="AZG8" s="25" t="s">
        <v>22</v>
      </c>
      <c r="AZH8" s="39" t="n">
        <v>29</v>
      </c>
      <c r="AZI8" s="39" t="n">
        <v>554</v>
      </c>
      <c r="AZJ8" s="42" t="n">
        <v>518</v>
      </c>
      <c r="AZK8" s="39" t="s">
        <v>23</v>
      </c>
      <c r="AZL8" s="39" t="n">
        <v>92.06</v>
      </c>
      <c r="AZM8" s="43" t="s">
        <v>44</v>
      </c>
      <c r="AZN8" s="44" t="s">
        <v>45</v>
      </c>
      <c r="AZO8" s="41" t="s">
        <v>39</v>
      </c>
      <c r="AZP8" s="25" t="n">
        <v>100</v>
      </c>
      <c r="AZQ8" s="25" t="s">
        <v>22</v>
      </c>
      <c r="AZR8" s="39" t="n">
        <v>29</v>
      </c>
      <c r="AZS8" s="39" t="n">
        <v>554</v>
      </c>
      <c r="AZT8" s="42" t="n">
        <v>518</v>
      </c>
      <c r="AZU8" s="39" t="s">
        <v>23</v>
      </c>
      <c r="AZV8" s="39" t="n">
        <v>92.06</v>
      </c>
      <c r="AZW8" s="43" t="s">
        <v>44</v>
      </c>
      <c r="AZX8" s="44" t="s">
        <v>45</v>
      </c>
      <c r="AZY8" s="41" t="s">
        <v>39</v>
      </c>
      <c r="AZZ8" s="25" t="n">
        <v>100</v>
      </c>
      <c r="BAA8" s="25" t="s">
        <v>22</v>
      </c>
      <c r="BAB8" s="39" t="n">
        <v>29</v>
      </c>
      <c r="BAC8" s="39" t="n">
        <v>554</v>
      </c>
      <c r="BAD8" s="42" t="n">
        <v>518</v>
      </c>
      <c r="BAE8" s="39" t="s">
        <v>23</v>
      </c>
      <c r="BAF8" s="39" t="n">
        <v>92.06</v>
      </c>
      <c r="BAG8" s="43" t="s">
        <v>44</v>
      </c>
      <c r="BAH8" s="44" t="s">
        <v>45</v>
      </c>
      <c r="BAI8" s="41" t="s">
        <v>39</v>
      </c>
      <c r="BAJ8" s="25" t="n">
        <v>100</v>
      </c>
      <c r="BAK8" s="25" t="s">
        <v>22</v>
      </c>
      <c r="BAL8" s="39" t="n">
        <v>29</v>
      </c>
      <c r="BAM8" s="39" t="n">
        <v>554</v>
      </c>
      <c r="BAN8" s="42" t="n">
        <v>518</v>
      </c>
      <c r="BAO8" s="39" t="s">
        <v>23</v>
      </c>
      <c r="BAP8" s="39" t="n">
        <v>92.06</v>
      </c>
      <c r="BAQ8" s="43" t="s">
        <v>44</v>
      </c>
      <c r="BAR8" s="44" t="s">
        <v>45</v>
      </c>
      <c r="BAS8" s="41" t="s">
        <v>39</v>
      </c>
      <c r="BAT8" s="25" t="n">
        <v>100</v>
      </c>
      <c r="BAU8" s="25" t="s">
        <v>22</v>
      </c>
      <c r="BAV8" s="39" t="n">
        <v>29</v>
      </c>
      <c r="BAW8" s="39" t="n">
        <v>554</v>
      </c>
      <c r="BAX8" s="42" t="n">
        <v>518</v>
      </c>
      <c r="BAY8" s="39" t="s">
        <v>23</v>
      </c>
      <c r="BAZ8" s="39" t="n">
        <v>92.06</v>
      </c>
      <c r="BBA8" s="43" t="s">
        <v>44</v>
      </c>
      <c r="BBB8" s="44" t="s">
        <v>45</v>
      </c>
      <c r="BBC8" s="41" t="s">
        <v>39</v>
      </c>
      <c r="BBD8" s="25" t="n">
        <v>100</v>
      </c>
      <c r="BBE8" s="25" t="s">
        <v>22</v>
      </c>
      <c r="BBF8" s="39" t="n">
        <v>29</v>
      </c>
      <c r="BBG8" s="39" t="n">
        <v>554</v>
      </c>
      <c r="BBH8" s="42" t="n">
        <v>518</v>
      </c>
      <c r="BBI8" s="39" t="s">
        <v>23</v>
      </c>
      <c r="BBJ8" s="39" t="n">
        <v>92.06</v>
      </c>
      <c r="BBK8" s="42"/>
      <c r="BBL8" s="42"/>
      <c r="BBM8" s="42"/>
      <c r="BBN8" s="42"/>
      <c r="BBO8" s="42"/>
      <c r="BBP8" s="42"/>
      <c r="BBQ8" s="42"/>
      <c r="BBR8" s="42"/>
      <c r="BBS8" s="42"/>
      <c r="BBT8" s="42"/>
      <c r="BBU8" s="42"/>
      <c r="BBV8" s="42"/>
      <c r="BBW8" s="42"/>
      <c r="BBX8" s="42"/>
      <c r="BBY8" s="42"/>
      <c r="BBZ8" s="42"/>
      <c r="BCA8" s="42"/>
      <c r="BCB8" s="42"/>
      <c r="BCC8" s="42"/>
      <c r="BCD8" s="42"/>
      <c r="BCE8" s="42"/>
      <c r="BCF8" s="42"/>
      <c r="BCG8" s="42"/>
      <c r="BCH8" s="42"/>
      <c r="BCI8" s="42"/>
      <c r="BCJ8" s="42"/>
      <c r="BCK8" s="42"/>
      <c r="BCL8" s="42"/>
      <c r="BCM8" s="42"/>
      <c r="BCN8" s="42"/>
      <c r="BCO8" s="42"/>
      <c r="BCP8" s="42"/>
      <c r="BCQ8" s="42"/>
      <c r="BCR8" s="42"/>
      <c r="BCS8" s="42"/>
      <c r="BCT8" s="42"/>
      <c r="BCU8" s="42"/>
      <c r="BCV8" s="42"/>
      <c r="BCW8" s="42"/>
      <c r="BCX8" s="42"/>
      <c r="BCY8" s="42"/>
      <c r="BCZ8" s="42"/>
      <c r="BDA8" s="42"/>
      <c r="BDB8" s="42"/>
      <c r="BDC8" s="42"/>
      <c r="BDD8" s="42"/>
      <c r="BDE8" s="42"/>
      <c r="BDF8" s="42"/>
      <c r="BDG8" s="42"/>
      <c r="BDH8" s="42"/>
      <c r="BDI8" s="42"/>
      <c r="BDJ8" s="42"/>
      <c r="BDK8" s="42"/>
      <c r="BDL8" s="42"/>
      <c r="BDM8" s="42"/>
      <c r="BDN8" s="42"/>
      <c r="BDO8" s="42"/>
      <c r="BDP8" s="42"/>
      <c r="BDQ8" s="42"/>
      <c r="BDR8" s="42"/>
      <c r="BDS8" s="42"/>
      <c r="BDT8" s="42"/>
      <c r="BDU8" s="42"/>
      <c r="BDV8" s="42"/>
      <c r="BDW8" s="42"/>
      <c r="BDX8" s="42"/>
      <c r="BDY8" s="42"/>
      <c r="BDZ8" s="42"/>
      <c r="BEA8" s="42"/>
      <c r="BEB8" s="42"/>
      <c r="BEC8" s="42"/>
      <c r="BED8" s="42"/>
      <c r="BEE8" s="42"/>
      <c r="BEF8" s="42"/>
      <c r="BEG8" s="42"/>
      <c r="BEH8" s="42"/>
      <c r="BEI8" s="42"/>
      <c r="BEJ8" s="42"/>
      <c r="BEK8" s="42"/>
      <c r="BEL8" s="42"/>
      <c r="BEM8" s="42"/>
      <c r="BEN8" s="42"/>
      <c r="BEO8" s="42"/>
      <c r="BEP8" s="42"/>
      <c r="BEQ8" s="42"/>
      <c r="BER8" s="42"/>
      <c r="BES8" s="42"/>
      <c r="BET8" s="42"/>
      <c r="BEU8" s="42"/>
      <c r="BEV8" s="42"/>
      <c r="BEW8" s="42"/>
      <c r="BEX8" s="42"/>
      <c r="BEY8" s="42"/>
      <c r="BEZ8" s="42"/>
      <c r="BFA8" s="42"/>
      <c r="BFB8" s="42"/>
      <c r="BFC8" s="42"/>
      <c r="BFD8" s="42"/>
      <c r="BFE8" s="42"/>
      <c r="BFF8" s="42"/>
      <c r="BFG8" s="42"/>
      <c r="BFH8" s="42"/>
      <c r="BFI8" s="42"/>
      <c r="BFJ8" s="42"/>
      <c r="BFK8" s="42"/>
      <c r="BFL8" s="42"/>
      <c r="BFM8" s="42"/>
      <c r="BFN8" s="42"/>
      <c r="BFO8" s="42"/>
      <c r="BFP8" s="42"/>
      <c r="BFQ8" s="42"/>
      <c r="BFR8" s="42"/>
      <c r="BFS8" s="42"/>
      <c r="BFT8" s="42"/>
      <c r="BFU8" s="42"/>
      <c r="BFV8" s="42"/>
      <c r="BFW8" s="42"/>
      <c r="BFX8" s="42"/>
      <c r="BFY8" s="42"/>
      <c r="BFZ8" s="42"/>
      <c r="BGA8" s="42"/>
      <c r="BGB8" s="42"/>
      <c r="BGC8" s="42"/>
      <c r="BGD8" s="42"/>
      <c r="BGE8" s="42"/>
      <c r="BGF8" s="42"/>
      <c r="BGG8" s="42"/>
      <c r="BGH8" s="42"/>
      <c r="BGI8" s="42"/>
      <c r="BGJ8" s="42"/>
      <c r="BGK8" s="42"/>
      <c r="BGL8" s="42"/>
      <c r="BGM8" s="42"/>
      <c r="BGN8" s="42"/>
      <c r="BGO8" s="42"/>
      <c r="BGP8" s="42"/>
      <c r="BGQ8" s="42"/>
      <c r="BGR8" s="42"/>
      <c r="BGS8" s="42"/>
      <c r="BGT8" s="42"/>
      <c r="BGU8" s="42"/>
      <c r="BGV8" s="42"/>
      <c r="BGW8" s="42"/>
      <c r="BGX8" s="42"/>
      <c r="BGY8" s="42"/>
      <c r="BGZ8" s="42"/>
      <c r="BHA8" s="42"/>
      <c r="BHB8" s="42"/>
      <c r="BHC8" s="42"/>
      <c r="BHD8" s="42"/>
      <c r="BHE8" s="42"/>
      <c r="BHF8" s="42"/>
      <c r="BHG8" s="42"/>
      <c r="BHH8" s="42"/>
      <c r="BHI8" s="42"/>
      <c r="BHJ8" s="42"/>
      <c r="BHK8" s="42"/>
      <c r="BHL8" s="42"/>
      <c r="BHM8" s="42"/>
      <c r="BHN8" s="42"/>
      <c r="BHO8" s="42"/>
      <c r="BHP8" s="42"/>
      <c r="BHQ8" s="42"/>
      <c r="BHR8" s="42"/>
      <c r="BHS8" s="42"/>
      <c r="BHT8" s="42"/>
      <c r="BHU8" s="42"/>
      <c r="BHV8" s="42"/>
      <c r="BHW8" s="42"/>
      <c r="BHX8" s="42"/>
      <c r="BHY8" s="42"/>
      <c r="BHZ8" s="42"/>
      <c r="BIA8" s="42"/>
      <c r="BIB8" s="42"/>
      <c r="BIC8" s="42"/>
      <c r="BID8" s="42"/>
      <c r="BIE8" s="42"/>
      <c r="BIF8" s="42"/>
      <c r="BIG8" s="42"/>
      <c r="BIH8" s="42"/>
      <c r="BII8" s="42"/>
      <c r="BIJ8" s="42"/>
      <c r="BIK8" s="42"/>
      <c r="BIL8" s="42"/>
      <c r="BIM8" s="42"/>
      <c r="BIN8" s="42"/>
      <c r="BIO8" s="42"/>
      <c r="BIP8" s="42"/>
      <c r="BIQ8" s="42"/>
      <c r="BIR8" s="42"/>
      <c r="BIS8" s="42"/>
      <c r="BIT8" s="42"/>
      <c r="BIU8" s="42"/>
      <c r="BIV8" s="42"/>
      <c r="BIW8" s="42"/>
      <c r="BIX8" s="42"/>
      <c r="BIY8" s="42"/>
      <c r="BIZ8" s="42"/>
      <c r="BJA8" s="42"/>
      <c r="BJB8" s="42"/>
      <c r="BJC8" s="42"/>
      <c r="BJD8" s="42"/>
      <c r="BJE8" s="42"/>
      <c r="BJF8" s="42"/>
      <c r="BJG8" s="42"/>
      <c r="BJH8" s="42"/>
      <c r="BJI8" s="42"/>
      <c r="BJJ8" s="42"/>
      <c r="BJK8" s="42"/>
      <c r="BJL8" s="42"/>
      <c r="BJM8" s="42"/>
      <c r="BJN8" s="42"/>
      <c r="BJO8" s="42"/>
      <c r="BJP8" s="42"/>
      <c r="BJQ8" s="42"/>
      <c r="BJR8" s="42"/>
      <c r="BJS8" s="42"/>
      <c r="BJT8" s="42"/>
      <c r="BJU8" s="42"/>
      <c r="BJV8" s="42"/>
      <c r="BJW8" s="42"/>
      <c r="BJX8" s="42"/>
      <c r="BJY8" s="42"/>
      <c r="BJZ8" s="42"/>
      <c r="BKA8" s="42"/>
      <c r="BKB8" s="42"/>
      <c r="BKC8" s="42"/>
      <c r="BKD8" s="42"/>
      <c r="BKE8" s="42"/>
      <c r="BKF8" s="42"/>
      <c r="BKG8" s="42"/>
      <c r="BKH8" s="42"/>
      <c r="BKI8" s="42"/>
      <c r="BKJ8" s="42"/>
      <c r="BKK8" s="42"/>
      <c r="BKL8" s="42"/>
      <c r="BKM8" s="42"/>
      <c r="BKN8" s="42"/>
      <c r="BKO8" s="42"/>
      <c r="BKP8" s="42"/>
      <c r="BKQ8" s="42"/>
      <c r="BKR8" s="42"/>
      <c r="BKS8" s="42"/>
      <c r="BKT8" s="42"/>
      <c r="BKU8" s="42"/>
      <c r="BKV8" s="42"/>
      <c r="BKW8" s="42"/>
      <c r="BKX8" s="42"/>
      <c r="BKY8" s="42"/>
      <c r="BKZ8" s="42"/>
      <c r="BLA8" s="42"/>
      <c r="BLB8" s="42"/>
      <c r="BLC8" s="42"/>
      <c r="BLD8" s="42"/>
      <c r="BLE8" s="42"/>
      <c r="BLF8" s="42"/>
      <c r="BLG8" s="42"/>
      <c r="BLH8" s="42"/>
      <c r="BLI8" s="42"/>
      <c r="BLJ8" s="42"/>
      <c r="BLK8" s="42"/>
      <c r="BLL8" s="42"/>
      <c r="BLM8" s="42"/>
      <c r="BLN8" s="42"/>
      <c r="BLO8" s="42"/>
      <c r="BLP8" s="42"/>
      <c r="BLQ8" s="42"/>
      <c r="BLR8" s="42"/>
      <c r="BLS8" s="42"/>
      <c r="BLT8" s="42"/>
      <c r="BLU8" s="42"/>
      <c r="BLV8" s="42"/>
      <c r="BLW8" s="42"/>
      <c r="BLX8" s="42"/>
      <c r="BLY8" s="42"/>
      <c r="BLZ8" s="42"/>
      <c r="BMA8" s="42"/>
      <c r="BMB8" s="42"/>
      <c r="BMC8" s="42"/>
      <c r="BMD8" s="42"/>
      <c r="BME8" s="42"/>
      <c r="BMF8" s="42"/>
      <c r="BMG8" s="42"/>
      <c r="BMH8" s="42"/>
      <c r="BMI8" s="42"/>
      <c r="BMJ8" s="42"/>
      <c r="BMK8" s="42"/>
      <c r="BML8" s="42"/>
      <c r="BMM8" s="42"/>
      <c r="BMN8" s="42"/>
      <c r="BMO8" s="42"/>
      <c r="BMP8" s="42"/>
      <c r="BMQ8" s="42"/>
      <c r="BMR8" s="42"/>
      <c r="BMS8" s="42"/>
      <c r="BMT8" s="42"/>
      <c r="BMU8" s="42"/>
      <c r="BMV8" s="42"/>
      <c r="BMW8" s="42"/>
      <c r="BMX8" s="42"/>
      <c r="BMY8" s="42"/>
      <c r="BMZ8" s="42"/>
      <c r="BNA8" s="42"/>
      <c r="BNB8" s="42"/>
      <c r="BNC8" s="42"/>
      <c r="BND8" s="42"/>
      <c r="BNE8" s="42"/>
      <c r="BNF8" s="42"/>
      <c r="BNG8" s="42"/>
      <c r="BNH8" s="42"/>
      <c r="BNI8" s="42"/>
      <c r="BNJ8" s="42"/>
      <c r="BNK8" s="42"/>
      <c r="BNL8" s="42"/>
      <c r="BNM8" s="42"/>
      <c r="BNN8" s="42"/>
      <c r="BNO8" s="42"/>
      <c r="BNP8" s="42"/>
      <c r="BNQ8" s="42"/>
      <c r="BNR8" s="42"/>
      <c r="BNS8" s="42"/>
      <c r="BNT8" s="42"/>
      <c r="BNU8" s="42"/>
      <c r="BNV8" s="42"/>
      <c r="BNW8" s="42"/>
      <c r="BNX8" s="42"/>
      <c r="BNY8" s="42"/>
      <c r="BNZ8" s="42"/>
      <c r="BOA8" s="42"/>
      <c r="BOB8" s="42"/>
      <c r="BOC8" s="42"/>
      <c r="BOD8" s="42"/>
      <c r="BOE8" s="42"/>
      <c r="BOF8" s="42"/>
      <c r="BOG8" s="42"/>
      <c r="BOH8" s="42"/>
      <c r="BOI8" s="42"/>
      <c r="BOJ8" s="42"/>
      <c r="BOK8" s="42"/>
      <c r="BOL8" s="42"/>
      <c r="BOM8" s="42"/>
      <c r="BON8" s="42"/>
      <c r="BOO8" s="42"/>
      <c r="BOP8" s="42"/>
      <c r="BOQ8" s="42"/>
      <c r="BOR8" s="42"/>
      <c r="BOS8" s="42"/>
      <c r="BOT8" s="42"/>
      <c r="BOU8" s="42"/>
      <c r="BOV8" s="42"/>
      <c r="BOW8" s="42"/>
      <c r="BOX8" s="42"/>
      <c r="BOY8" s="42"/>
      <c r="BOZ8" s="42"/>
      <c r="BPA8" s="42"/>
      <c r="BPB8" s="42"/>
      <c r="BPC8" s="42"/>
      <c r="BPD8" s="42"/>
      <c r="BPE8" s="42"/>
      <c r="BPF8" s="42"/>
      <c r="BPG8" s="42"/>
      <c r="BPH8" s="42"/>
      <c r="BPI8" s="42"/>
      <c r="BPJ8" s="42"/>
      <c r="BPK8" s="42"/>
      <c r="BPL8" s="42"/>
      <c r="BPM8" s="42"/>
      <c r="BPN8" s="42"/>
      <c r="BPO8" s="42"/>
      <c r="BPP8" s="42"/>
      <c r="BPQ8" s="42"/>
      <c r="BPR8" s="42"/>
      <c r="BPS8" s="42"/>
      <c r="BPT8" s="42"/>
      <c r="BPU8" s="42"/>
      <c r="BPV8" s="42"/>
      <c r="BPW8" s="42"/>
      <c r="BPX8" s="42"/>
      <c r="BPY8" s="42"/>
      <c r="BPZ8" s="42"/>
      <c r="BQA8" s="42"/>
      <c r="BQB8" s="42"/>
      <c r="BQC8" s="42"/>
      <c r="BQD8" s="42"/>
      <c r="BQE8" s="42"/>
      <c r="BQF8" s="42"/>
      <c r="BQG8" s="42"/>
      <c r="BQH8" s="42"/>
      <c r="BQI8" s="42"/>
      <c r="BQJ8" s="42"/>
      <c r="BQK8" s="42"/>
      <c r="BQL8" s="42"/>
      <c r="BQM8" s="42"/>
      <c r="BQN8" s="42"/>
      <c r="BQO8" s="42"/>
      <c r="BQP8" s="42"/>
      <c r="BQQ8" s="42"/>
      <c r="BQR8" s="42"/>
      <c r="BQS8" s="42"/>
      <c r="BQT8" s="42"/>
      <c r="BQU8" s="42"/>
      <c r="BQV8" s="42"/>
      <c r="BQW8" s="42"/>
      <c r="BQX8" s="42"/>
      <c r="BQY8" s="42"/>
      <c r="BQZ8" s="42"/>
      <c r="BRA8" s="42"/>
      <c r="BRB8" s="42"/>
      <c r="BRC8" s="42"/>
      <c r="BRD8" s="42"/>
      <c r="BRE8" s="42"/>
      <c r="BRF8" s="42"/>
      <c r="BRG8" s="42"/>
      <c r="BRH8" s="42"/>
      <c r="BRI8" s="42"/>
      <c r="BRJ8" s="42"/>
      <c r="BRK8" s="42"/>
      <c r="BRL8" s="42"/>
      <c r="BRM8" s="42"/>
      <c r="BRN8" s="42"/>
      <c r="BRO8" s="42"/>
      <c r="BRP8" s="42"/>
      <c r="BRQ8" s="42"/>
      <c r="BRR8" s="42"/>
      <c r="BRS8" s="42"/>
      <c r="BRT8" s="42"/>
      <c r="BRU8" s="42"/>
      <c r="BRV8" s="42"/>
      <c r="BRW8" s="42"/>
      <c r="BRX8" s="42"/>
      <c r="BRY8" s="42"/>
      <c r="BRZ8" s="42"/>
      <c r="BSA8" s="42"/>
      <c r="BSB8" s="42"/>
      <c r="BSC8" s="42"/>
      <c r="BSD8" s="42"/>
      <c r="BSE8" s="42"/>
      <c r="BSF8" s="42"/>
      <c r="BSG8" s="42"/>
      <c r="BSH8" s="42"/>
      <c r="BSI8" s="42"/>
      <c r="BSJ8" s="42"/>
      <c r="BSK8" s="42"/>
      <c r="BSL8" s="42"/>
      <c r="BSM8" s="42"/>
      <c r="BSN8" s="42"/>
      <c r="BSO8" s="42"/>
      <c r="BSP8" s="42"/>
      <c r="BSQ8" s="42"/>
      <c r="BSR8" s="42"/>
      <c r="BSS8" s="42"/>
      <c r="BST8" s="42"/>
      <c r="BSU8" s="42"/>
      <c r="BSV8" s="42"/>
      <c r="BSW8" s="42"/>
      <c r="BSX8" s="42"/>
      <c r="BSY8" s="42"/>
      <c r="BSZ8" s="42"/>
      <c r="BTA8" s="42"/>
      <c r="BTB8" s="42"/>
      <c r="BTC8" s="42"/>
      <c r="BTD8" s="42"/>
      <c r="BTE8" s="42"/>
      <c r="BTF8" s="42"/>
      <c r="BTG8" s="42"/>
      <c r="BTH8" s="42"/>
      <c r="BTI8" s="42"/>
      <c r="BTJ8" s="42"/>
      <c r="BTK8" s="42"/>
      <c r="BTL8" s="42"/>
      <c r="BTM8" s="42"/>
      <c r="BTN8" s="42"/>
      <c r="BTO8" s="42"/>
      <c r="BTP8" s="42"/>
      <c r="BTQ8" s="42"/>
      <c r="BTR8" s="42"/>
      <c r="BTS8" s="42"/>
      <c r="BTT8" s="42"/>
      <c r="BTU8" s="42"/>
      <c r="BTV8" s="42"/>
      <c r="BTW8" s="42"/>
      <c r="BTX8" s="42"/>
      <c r="BTY8" s="42"/>
      <c r="BTZ8" s="42"/>
      <c r="BUA8" s="42"/>
      <c r="BUB8" s="42"/>
      <c r="BUC8" s="42"/>
      <c r="BUD8" s="42"/>
      <c r="BUE8" s="42"/>
      <c r="BUF8" s="42"/>
      <c r="BUG8" s="42"/>
      <c r="BUH8" s="42"/>
      <c r="BUI8" s="42"/>
      <c r="BUJ8" s="42"/>
      <c r="BUK8" s="42"/>
      <c r="BUL8" s="42"/>
      <c r="BUM8" s="42"/>
      <c r="BUN8" s="42"/>
      <c r="BUO8" s="42"/>
      <c r="BUP8" s="42"/>
      <c r="BUQ8" s="42"/>
      <c r="BUR8" s="42"/>
      <c r="BUS8" s="42"/>
      <c r="BUT8" s="42"/>
      <c r="BUU8" s="42"/>
      <c r="BUV8" s="42"/>
      <c r="BUW8" s="42"/>
      <c r="BUX8" s="42"/>
      <c r="BUY8" s="42"/>
      <c r="BUZ8" s="42"/>
      <c r="BVA8" s="42"/>
      <c r="BVB8" s="42"/>
      <c r="BVC8" s="42"/>
      <c r="BVD8" s="42"/>
      <c r="BVE8" s="42"/>
      <c r="BVF8" s="42"/>
      <c r="BVG8" s="42"/>
      <c r="BVH8" s="42"/>
      <c r="BVI8" s="42"/>
      <c r="BVJ8" s="42"/>
      <c r="BVK8" s="42"/>
      <c r="BVL8" s="42"/>
      <c r="BVM8" s="42"/>
      <c r="BVN8" s="42"/>
      <c r="BVO8" s="42"/>
      <c r="BVP8" s="42"/>
      <c r="BVQ8" s="42"/>
      <c r="BVR8" s="42"/>
      <c r="BVS8" s="42"/>
      <c r="BVT8" s="42"/>
      <c r="BVU8" s="42"/>
      <c r="BVV8" s="42"/>
      <c r="BVW8" s="42"/>
      <c r="BVX8" s="42"/>
      <c r="BVY8" s="42"/>
      <c r="BVZ8" s="42"/>
      <c r="BWA8" s="42"/>
      <c r="BWB8" s="42"/>
      <c r="BWC8" s="42"/>
      <c r="BWD8" s="42"/>
      <c r="BWE8" s="42"/>
      <c r="BWF8" s="42"/>
      <c r="BWG8" s="42"/>
      <c r="BWH8" s="42"/>
      <c r="BWI8" s="42"/>
      <c r="BWJ8" s="42"/>
      <c r="BWK8" s="42"/>
      <c r="BWL8" s="42"/>
      <c r="BWM8" s="42"/>
      <c r="BWN8" s="42"/>
      <c r="BWO8" s="42"/>
      <c r="BWP8" s="42"/>
      <c r="BWQ8" s="42"/>
      <c r="BWR8" s="42"/>
      <c r="BWS8" s="42"/>
      <c r="BWT8" s="42"/>
      <c r="BWU8" s="42"/>
      <c r="BWV8" s="42"/>
      <c r="BWW8" s="42"/>
      <c r="BWX8" s="42"/>
      <c r="BWY8" s="42"/>
      <c r="BWZ8" s="42"/>
      <c r="BXA8" s="42"/>
      <c r="BXB8" s="42"/>
      <c r="BXC8" s="42"/>
      <c r="BXD8" s="42"/>
      <c r="BXE8" s="42"/>
      <c r="BXF8" s="42"/>
      <c r="BXG8" s="42"/>
      <c r="BXH8" s="42"/>
      <c r="BXI8" s="42"/>
      <c r="BXJ8" s="42"/>
      <c r="BXK8" s="42"/>
      <c r="BXL8" s="42"/>
      <c r="BXM8" s="42"/>
      <c r="BXN8" s="42"/>
      <c r="BXO8" s="42"/>
      <c r="BXP8" s="42"/>
      <c r="BXQ8" s="42"/>
      <c r="BXR8" s="42"/>
      <c r="BXS8" s="42"/>
      <c r="BXT8" s="42"/>
      <c r="BXU8" s="42"/>
      <c r="BXV8" s="42"/>
      <c r="BXW8" s="42"/>
      <c r="BXX8" s="42"/>
      <c r="BXY8" s="42"/>
      <c r="BXZ8" s="42"/>
      <c r="BYA8" s="42"/>
      <c r="BYB8" s="42"/>
      <c r="BYC8" s="42"/>
      <c r="BYD8" s="42"/>
      <c r="BYE8" s="42"/>
      <c r="BYF8" s="42"/>
      <c r="BYG8" s="42"/>
      <c r="BYH8" s="42"/>
      <c r="BYI8" s="42"/>
      <c r="BYJ8" s="42"/>
      <c r="BYK8" s="42"/>
      <c r="BYL8" s="42"/>
      <c r="BYM8" s="42"/>
      <c r="BYN8" s="42"/>
      <c r="BYO8" s="42"/>
      <c r="BYP8" s="42"/>
      <c r="BYQ8" s="42"/>
      <c r="BYR8" s="42"/>
      <c r="BYS8" s="42"/>
      <c r="BYT8" s="42"/>
      <c r="BYU8" s="42"/>
      <c r="BYV8" s="42"/>
      <c r="BYW8" s="42"/>
      <c r="BYX8" s="42"/>
      <c r="BYY8" s="42"/>
      <c r="BYZ8" s="42"/>
      <c r="BZA8" s="42"/>
      <c r="BZB8" s="42"/>
      <c r="BZC8" s="42"/>
      <c r="BZD8" s="42"/>
      <c r="BZE8" s="42"/>
      <c r="BZF8" s="42"/>
      <c r="BZG8" s="42"/>
      <c r="BZH8" s="42"/>
      <c r="BZI8" s="42"/>
      <c r="BZJ8" s="42"/>
      <c r="BZK8" s="42"/>
      <c r="BZL8" s="42"/>
      <c r="BZM8" s="42"/>
      <c r="BZN8" s="42"/>
      <c r="BZO8" s="42"/>
      <c r="BZP8" s="42"/>
      <c r="BZQ8" s="42"/>
      <c r="BZR8" s="42"/>
      <c r="BZS8" s="42"/>
      <c r="BZT8" s="42"/>
      <c r="BZU8" s="42"/>
      <c r="BZV8" s="42"/>
      <c r="BZW8" s="42"/>
      <c r="BZX8" s="42"/>
      <c r="BZY8" s="42"/>
      <c r="BZZ8" s="42"/>
      <c r="CAA8" s="42"/>
      <c r="CAB8" s="42"/>
      <c r="CAC8" s="42"/>
      <c r="CAD8" s="42"/>
      <c r="CAE8" s="42"/>
      <c r="CAF8" s="42"/>
      <c r="CAG8" s="42"/>
      <c r="CAH8" s="42"/>
      <c r="CAI8" s="42"/>
      <c r="CAJ8" s="42"/>
      <c r="CAK8" s="42"/>
      <c r="CAL8" s="42"/>
      <c r="CAM8" s="42"/>
      <c r="CAN8" s="42"/>
      <c r="CAO8" s="42"/>
      <c r="CAP8" s="42"/>
      <c r="CAQ8" s="42"/>
      <c r="CAR8" s="42"/>
      <c r="CAS8" s="42"/>
      <c r="CAT8" s="42"/>
      <c r="CAU8" s="42"/>
      <c r="CAV8" s="42"/>
      <c r="CAW8" s="42"/>
      <c r="CAX8" s="42"/>
      <c r="CAY8" s="42"/>
      <c r="CAZ8" s="42"/>
      <c r="CBA8" s="42"/>
      <c r="CBB8" s="42"/>
      <c r="CBC8" s="42"/>
      <c r="CBD8" s="42"/>
      <c r="CBE8" s="42"/>
      <c r="CBF8" s="42"/>
      <c r="CBG8" s="42"/>
      <c r="CBH8" s="42"/>
      <c r="CBI8" s="42"/>
      <c r="CBJ8" s="42"/>
      <c r="CBK8" s="42"/>
      <c r="CBL8" s="42"/>
      <c r="CBM8" s="42"/>
      <c r="CBN8" s="42"/>
      <c r="CBO8" s="42"/>
      <c r="CBP8" s="42"/>
      <c r="CBQ8" s="42"/>
      <c r="CBR8" s="42"/>
      <c r="CBS8" s="42"/>
      <c r="CBT8" s="42"/>
      <c r="CBU8" s="42"/>
      <c r="CBV8" s="42"/>
      <c r="CBW8" s="42"/>
      <c r="CBX8" s="42"/>
      <c r="CBY8" s="42"/>
      <c r="CBZ8" s="42"/>
      <c r="CCA8" s="42"/>
      <c r="CCB8" s="42"/>
      <c r="CCC8" s="42"/>
      <c r="CCD8" s="42"/>
      <c r="CCE8" s="42"/>
      <c r="CCF8" s="42"/>
      <c r="CCG8" s="42"/>
      <c r="CCH8" s="42"/>
      <c r="CCI8" s="42"/>
      <c r="CCJ8" s="42"/>
      <c r="CCK8" s="42"/>
      <c r="CCL8" s="42"/>
      <c r="CCM8" s="42"/>
      <c r="CCN8" s="42"/>
      <c r="CCO8" s="42"/>
      <c r="CCP8" s="42"/>
      <c r="CCQ8" s="42"/>
      <c r="CCR8" s="42"/>
      <c r="CCS8" s="42"/>
      <c r="CCT8" s="42"/>
      <c r="CCU8" s="42"/>
      <c r="CCV8" s="42"/>
      <c r="CCW8" s="42"/>
      <c r="CCX8" s="42"/>
      <c r="CCY8" s="42"/>
      <c r="CCZ8" s="42"/>
      <c r="CDA8" s="42"/>
      <c r="CDB8" s="42"/>
      <c r="CDC8" s="42"/>
      <c r="CDD8" s="42"/>
      <c r="CDE8" s="42"/>
      <c r="CDF8" s="42"/>
      <c r="CDG8" s="42"/>
      <c r="CDH8" s="42"/>
      <c r="CDI8" s="42"/>
      <c r="CDJ8" s="42"/>
      <c r="CDK8" s="42"/>
      <c r="CDL8" s="42"/>
      <c r="CDM8" s="42"/>
      <c r="CDN8" s="42"/>
      <c r="CDO8" s="42"/>
      <c r="CDP8" s="42"/>
      <c r="CDQ8" s="42"/>
      <c r="CDR8" s="42"/>
      <c r="CDS8" s="42"/>
      <c r="CDT8" s="42"/>
      <c r="CDU8" s="42"/>
      <c r="CDV8" s="42"/>
      <c r="CDW8" s="42"/>
      <c r="CDX8" s="42"/>
      <c r="CDY8" s="42"/>
      <c r="CDZ8" s="42"/>
      <c r="CEA8" s="42"/>
      <c r="CEB8" s="42"/>
      <c r="CEC8" s="42"/>
      <c r="CED8" s="42"/>
      <c r="CEE8" s="42"/>
      <c r="CEF8" s="42"/>
      <c r="CEG8" s="42"/>
      <c r="CEH8" s="42"/>
      <c r="CEI8" s="42"/>
      <c r="CEJ8" s="42"/>
      <c r="CEK8" s="42"/>
      <c r="CEL8" s="42"/>
      <c r="CEM8" s="42"/>
      <c r="CEN8" s="42"/>
      <c r="CEO8" s="42"/>
      <c r="CEP8" s="42"/>
      <c r="CEQ8" s="42"/>
      <c r="CER8" s="42"/>
      <c r="CES8" s="42"/>
      <c r="CET8" s="42"/>
      <c r="CEU8" s="42"/>
      <c r="CEV8" s="42"/>
      <c r="CEW8" s="42"/>
      <c r="CEX8" s="42"/>
      <c r="CEY8" s="42"/>
      <c r="CEZ8" s="42"/>
      <c r="CFA8" s="42"/>
      <c r="CFB8" s="42"/>
      <c r="CFC8" s="42"/>
      <c r="CFD8" s="42"/>
      <c r="CFE8" s="42"/>
      <c r="CFF8" s="42"/>
      <c r="CFG8" s="42"/>
      <c r="CFH8" s="42"/>
      <c r="CFI8" s="42"/>
      <c r="CFJ8" s="42"/>
      <c r="CFK8" s="42"/>
      <c r="CFL8" s="42"/>
      <c r="CFM8" s="42"/>
      <c r="CFN8" s="42"/>
      <c r="CFO8" s="42"/>
      <c r="CFP8" s="42"/>
      <c r="CFQ8" s="42"/>
      <c r="CFR8" s="42"/>
      <c r="CFS8" s="42"/>
      <c r="CFT8" s="42"/>
      <c r="CFU8" s="42"/>
      <c r="CFV8" s="42"/>
      <c r="CFW8" s="42"/>
      <c r="CFX8" s="42"/>
      <c r="CFY8" s="42"/>
      <c r="CFZ8" s="42"/>
      <c r="CGA8" s="42"/>
      <c r="CGB8" s="42"/>
      <c r="CGC8" s="42"/>
      <c r="CGD8" s="42"/>
      <c r="CGE8" s="42"/>
      <c r="CGF8" s="42"/>
      <c r="CGG8" s="42"/>
      <c r="CGH8" s="42"/>
      <c r="CGI8" s="42"/>
      <c r="CGJ8" s="42"/>
      <c r="CGK8" s="42"/>
      <c r="CGL8" s="42"/>
      <c r="CGM8" s="42"/>
      <c r="CGN8" s="42"/>
      <c r="CGO8" s="42"/>
      <c r="CGP8" s="42"/>
      <c r="CGQ8" s="42"/>
      <c r="CGR8" s="42"/>
      <c r="CGS8" s="42"/>
      <c r="CGT8" s="42"/>
      <c r="CGU8" s="42"/>
      <c r="CGV8" s="42"/>
      <c r="CGW8" s="42"/>
      <c r="CGX8" s="42"/>
      <c r="CGY8" s="42"/>
      <c r="CGZ8" s="42"/>
      <c r="CHA8" s="42"/>
      <c r="CHB8" s="42"/>
      <c r="CHC8" s="42"/>
      <c r="CHD8" s="42"/>
      <c r="CHE8" s="42"/>
      <c r="CHF8" s="42"/>
      <c r="CHG8" s="42"/>
      <c r="CHH8" s="42"/>
      <c r="CHI8" s="42"/>
      <c r="CHJ8" s="42"/>
      <c r="CHK8" s="42"/>
      <c r="CHL8" s="42"/>
      <c r="CHM8" s="42"/>
      <c r="CHN8" s="42"/>
      <c r="CHO8" s="42"/>
      <c r="CHP8" s="42"/>
      <c r="CHQ8" s="42"/>
      <c r="CHR8" s="42"/>
      <c r="CHS8" s="42"/>
      <c r="CHT8" s="42"/>
      <c r="CHU8" s="42"/>
      <c r="CHV8" s="42"/>
      <c r="CHW8" s="42"/>
      <c r="CHX8" s="42"/>
      <c r="CHY8" s="42"/>
      <c r="CHZ8" s="42"/>
      <c r="CIA8" s="42"/>
      <c r="CIB8" s="42"/>
      <c r="CIC8" s="42"/>
      <c r="CID8" s="42"/>
      <c r="CIE8" s="42"/>
      <c r="CIF8" s="42"/>
      <c r="CIG8" s="42"/>
      <c r="CIH8" s="42"/>
      <c r="CII8" s="42"/>
      <c r="CIJ8" s="42"/>
      <c r="CIK8" s="42"/>
      <c r="CIL8" s="42"/>
      <c r="CIM8" s="42"/>
      <c r="CIN8" s="42"/>
      <c r="CIO8" s="42"/>
      <c r="CIP8" s="42"/>
      <c r="CIQ8" s="42"/>
      <c r="CIR8" s="42"/>
      <c r="CIS8" s="42"/>
      <c r="CIT8" s="42"/>
      <c r="CIU8" s="42"/>
      <c r="CIV8" s="42"/>
      <c r="CIW8" s="42"/>
      <c r="CIX8" s="42"/>
      <c r="CIY8" s="42"/>
      <c r="CIZ8" s="42"/>
      <c r="CJA8" s="42"/>
      <c r="CJB8" s="42"/>
      <c r="CJC8" s="42"/>
      <c r="CJD8" s="42"/>
      <c r="CJE8" s="42"/>
      <c r="CJF8" s="42"/>
      <c r="CJG8" s="42"/>
      <c r="CJH8" s="42"/>
      <c r="CJI8" s="42"/>
      <c r="CJJ8" s="42"/>
      <c r="CJK8" s="42"/>
      <c r="CJL8" s="42"/>
      <c r="CJM8" s="42"/>
      <c r="CJN8" s="42"/>
      <c r="CJO8" s="42"/>
      <c r="CJP8" s="42"/>
      <c r="CJQ8" s="42"/>
      <c r="CJR8" s="42"/>
      <c r="CJS8" s="42"/>
      <c r="CJT8" s="42"/>
      <c r="CJU8" s="42"/>
      <c r="CJV8" s="42"/>
      <c r="CJW8" s="42"/>
      <c r="CJX8" s="42"/>
      <c r="CJY8" s="42"/>
      <c r="CJZ8" s="42"/>
      <c r="CKA8" s="42"/>
      <c r="CKB8" s="42"/>
      <c r="CKC8" s="42"/>
      <c r="CKD8" s="42"/>
      <c r="CKE8" s="42"/>
      <c r="CKF8" s="42"/>
      <c r="CKG8" s="42"/>
      <c r="CKH8" s="42"/>
      <c r="CKI8" s="42"/>
      <c r="CKJ8" s="42"/>
      <c r="CKK8" s="42"/>
      <c r="CKL8" s="42"/>
      <c r="CKM8" s="42"/>
      <c r="CKN8" s="42"/>
      <c r="CKO8" s="42"/>
      <c r="CKP8" s="42"/>
      <c r="CKQ8" s="42"/>
      <c r="CKR8" s="42"/>
      <c r="CKS8" s="42"/>
      <c r="CKT8" s="42"/>
      <c r="CKU8" s="42"/>
      <c r="CKV8" s="42"/>
      <c r="CKW8" s="42"/>
      <c r="CKX8" s="42"/>
      <c r="CKY8" s="42"/>
      <c r="CKZ8" s="42"/>
      <c r="CLA8" s="42"/>
      <c r="CLB8" s="42"/>
      <c r="CLC8" s="42"/>
      <c r="CLD8" s="42"/>
      <c r="CLE8" s="42"/>
      <c r="CLF8" s="42"/>
      <c r="CLG8" s="42"/>
      <c r="CLH8" s="42"/>
      <c r="CLI8" s="42"/>
      <c r="CLJ8" s="42"/>
      <c r="CLK8" s="42"/>
      <c r="CLL8" s="42"/>
      <c r="CLM8" s="42"/>
      <c r="CLN8" s="42"/>
      <c r="CLO8" s="42"/>
      <c r="CLP8" s="42"/>
      <c r="CLQ8" s="42"/>
      <c r="CLR8" s="42"/>
      <c r="CLS8" s="42"/>
      <c r="CLT8" s="42"/>
      <c r="CLU8" s="42"/>
      <c r="CLV8" s="42"/>
      <c r="CLW8" s="42"/>
      <c r="CLX8" s="42"/>
      <c r="CLY8" s="42"/>
      <c r="CLZ8" s="42"/>
      <c r="CMA8" s="42"/>
      <c r="CMB8" s="42"/>
      <c r="CMC8" s="42"/>
      <c r="CMD8" s="42"/>
      <c r="CME8" s="42"/>
      <c r="CMF8" s="42"/>
      <c r="CMG8" s="42"/>
      <c r="CMH8" s="42"/>
      <c r="CMI8" s="42"/>
      <c r="CMJ8" s="42"/>
      <c r="CMK8" s="42"/>
      <c r="CML8" s="42"/>
      <c r="CMM8" s="42"/>
      <c r="CMN8" s="42"/>
      <c r="CMO8" s="42"/>
      <c r="CMP8" s="42"/>
      <c r="CMQ8" s="42"/>
      <c r="CMR8" s="42"/>
      <c r="CMS8" s="42"/>
      <c r="CMT8" s="42"/>
      <c r="CMU8" s="42"/>
      <c r="CMV8" s="42"/>
      <c r="CMW8" s="42"/>
      <c r="CMX8" s="42"/>
      <c r="CMY8" s="42"/>
      <c r="CMZ8" s="42"/>
      <c r="CNA8" s="42"/>
      <c r="CNB8" s="42"/>
      <c r="CNC8" s="42"/>
      <c r="CND8" s="42"/>
      <c r="CNE8" s="42"/>
      <c r="CNF8" s="42"/>
      <c r="CNG8" s="42"/>
      <c r="CNH8" s="42"/>
      <c r="CNI8" s="42"/>
      <c r="CNJ8" s="42"/>
      <c r="CNK8" s="42"/>
      <c r="CNL8" s="42"/>
      <c r="CNM8" s="42"/>
      <c r="CNN8" s="42"/>
      <c r="CNO8" s="42"/>
      <c r="CNP8" s="42"/>
      <c r="CNQ8" s="42"/>
      <c r="CNR8" s="42"/>
      <c r="CNS8" s="42"/>
      <c r="CNT8" s="42"/>
      <c r="CNU8" s="42"/>
      <c r="CNV8" s="42"/>
      <c r="CNW8" s="42"/>
      <c r="CNX8" s="42"/>
      <c r="CNY8" s="42"/>
      <c r="CNZ8" s="42"/>
      <c r="COA8" s="42"/>
      <c r="COB8" s="42"/>
      <c r="COC8" s="42"/>
      <c r="COD8" s="42"/>
      <c r="COE8" s="42"/>
      <c r="COF8" s="42"/>
      <c r="COG8" s="42"/>
      <c r="COH8" s="42"/>
      <c r="COI8" s="42"/>
      <c r="COJ8" s="42"/>
      <c r="COK8" s="42"/>
      <c r="COL8" s="42"/>
      <c r="COM8" s="42"/>
      <c r="CON8" s="42"/>
      <c r="COO8" s="42"/>
      <c r="COP8" s="42"/>
      <c r="COQ8" s="42"/>
      <c r="COR8" s="42"/>
      <c r="COS8" s="42"/>
      <c r="COT8" s="42"/>
      <c r="COU8" s="42"/>
      <c r="COV8" s="42"/>
      <c r="COW8" s="42"/>
      <c r="COX8" s="42"/>
      <c r="COY8" s="42"/>
      <c r="COZ8" s="42"/>
      <c r="CPA8" s="42"/>
      <c r="CPB8" s="42"/>
      <c r="CPC8" s="42"/>
      <c r="CPD8" s="42"/>
      <c r="CPE8" s="42"/>
      <c r="CPF8" s="42"/>
      <c r="CPG8" s="42"/>
      <c r="CPH8" s="42"/>
      <c r="CPI8" s="42"/>
      <c r="CPJ8" s="42"/>
      <c r="CPK8" s="42"/>
      <c r="CPL8" s="42"/>
      <c r="CPM8" s="42"/>
      <c r="CPN8" s="42"/>
      <c r="CPO8" s="42"/>
      <c r="CPP8" s="42"/>
      <c r="CPQ8" s="42"/>
      <c r="CPR8" s="42"/>
      <c r="CPS8" s="42"/>
      <c r="CPT8" s="42"/>
      <c r="CPU8" s="42"/>
      <c r="CPV8" s="42"/>
      <c r="CPW8" s="42"/>
      <c r="CPX8" s="42"/>
      <c r="CPY8" s="42"/>
      <c r="CPZ8" s="42"/>
      <c r="CQA8" s="42"/>
      <c r="CQB8" s="42"/>
      <c r="CQC8" s="42"/>
      <c r="CQD8" s="42"/>
      <c r="CQE8" s="42"/>
      <c r="CQF8" s="42"/>
      <c r="CQG8" s="42"/>
      <c r="CQH8" s="42"/>
      <c r="CQI8" s="42"/>
      <c r="CQJ8" s="42"/>
      <c r="CQK8" s="42"/>
      <c r="CQL8" s="42"/>
      <c r="CQM8" s="42"/>
      <c r="CQN8" s="42"/>
      <c r="CQO8" s="42"/>
      <c r="CQP8" s="42"/>
      <c r="CQQ8" s="42"/>
      <c r="CQR8" s="42"/>
      <c r="CQS8" s="42"/>
      <c r="CQT8" s="42"/>
      <c r="CQU8" s="42"/>
      <c r="CQV8" s="42"/>
      <c r="CQW8" s="42"/>
      <c r="CQX8" s="42"/>
      <c r="CQY8" s="42"/>
      <c r="CQZ8" s="42"/>
      <c r="CRA8" s="42"/>
      <c r="CRB8" s="42"/>
      <c r="CRC8" s="42"/>
      <c r="CRD8" s="42"/>
      <c r="CRE8" s="42"/>
      <c r="CRF8" s="42"/>
      <c r="CRG8" s="42"/>
      <c r="CRH8" s="42"/>
      <c r="CRI8" s="42"/>
      <c r="CRJ8" s="42"/>
      <c r="CRK8" s="42"/>
      <c r="CRL8" s="42"/>
      <c r="CRM8" s="42"/>
      <c r="CRN8" s="42"/>
      <c r="CRO8" s="42"/>
      <c r="CRP8" s="42"/>
      <c r="CRQ8" s="42"/>
      <c r="CRR8" s="42"/>
      <c r="CRS8" s="42"/>
      <c r="CRT8" s="42"/>
      <c r="CRU8" s="42"/>
      <c r="CRV8" s="42"/>
      <c r="CRW8" s="42"/>
      <c r="CRX8" s="42"/>
      <c r="CRY8" s="42"/>
      <c r="CRZ8" s="42"/>
      <c r="CSA8" s="42"/>
      <c r="CSB8" s="42"/>
      <c r="CSC8" s="42"/>
      <c r="CSD8" s="42"/>
      <c r="CSE8" s="42"/>
      <c r="CSF8" s="42"/>
      <c r="CSG8" s="42"/>
      <c r="CSH8" s="42"/>
      <c r="CSI8" s="42"/>
      <c r="CSJ8" s="42"/>
      <c r="CSK8" s="42"/>
      <c r="CSL8" s="42"/>
      <c r="CSM8" s="42"/>
      <c r="CSN8" s="42"/>
      <c r="CSO8" s="42"/>
      <c r="CSP8" s="42"/>
      <c r="CSQ8" s="42"/>
      <c r="CSR8" s="42"/>
      <c r="CSS8" s="42"/>
      <c r="CST8" s="42"/>
      <c r="CSU8" s="42"/>
      <c r="CSV8" s="42"/>
      <c r="CSW8" s="42"/>
      <c r="CSX8" s="42"/>
      <c r="CSY8" s="42"/>
      <c r="CSZ8" s="42"/>
      <c r="CTA8" s="42"/>
      <c r="CTB8" s="42"/>
      <c r="CTC8" s="42"/>
      <c r="CTD8" s="42"/>
      <c r="CTE8" s="42"/>
      <c r="CTF8" s="42"/>
      <c r="CTG8" s="42"/>
      <c r="CTH8" s="42"/>
      <c r="CTI8" s="42"/>
      <c r="CTJ8" s="42"/>
      <c r="CTK8" s="42"/>
      <c r="CTL8" s="42"/>
      <c r="CTM8" s="42"/>
      <c r="CTN8" s="42"/>
      <c r="CTO8" s="42"/>
      <c r="CTP8" s="42"/>
      <c r="CTQ8" s="42"/>
      <c r="CTR8" s="42"/>
      <c r="CTS8" s="42"/>
      <c r="CTT8" s="42"/>
      <c r="CTU8" s="42"/>
      <c r="CTV8" s="42"/>
      <c r="CTW8" s="42"/>
      <c r="CTX8" s="42"/>
      <c r="CTY8" s="42"/>
      <c r="CTZ8" s="42"/>
      <c r="CUA8" s="42"/>
      <c r="CUB8" s="42"/>
      <c r="CUC8" s="42"/>
      <c r="CUD8" s="42"/>
      <c r="CUE8" s="42"/>
      <c r="CUF8" s="42"/>
      <c r="CUG8" s="42"/>
      <c r="CUH8" s="42"/>
      <c r="CUI8" s="42"/>
      <c r="CUJ8" s="42"/>
      <c r="CUK8" s="42"/>
      <c r="CUL8" s="42"/>
      <c r="CUM8" s="42"/>
      <c r="CUN8" s="42"/>
      <c r="CUO8" s="42"/>
      <c r="CUP8" s="42"/>
      <c r="CUQ8" s="42"/>
      <c r="CUR8" s="42"/>
      <c r="CUS8" s="42"/>
      <c r="CUT8" s="42"/>
      <c r="CUU8" s="42"/>
      <c r="CUV8" s="42"/>
      <c r="CUW8" s="42"/>
      <c r="CUX8" s="42"/>
      <c r="CUY8" s="42"/>
      <c r="CUZ8" s="42"/>
      <c r="CVA8" s="42"/>
      <c r="CVB8" s="42"/>
      <c r="CVC8" s="42"/>
      <c r="CVD8" s="42"/>
      <c r="CVE8" s="42"/>
      <c r="CVF8" s="42"/>
      <c r="CVG8" s="42"/>
      <c r="CVH8" s="42"/>
      <c r="CVI8" s="42"/>
      <c r="CVJ8" s="42"/>
      <c r="CVK8" s="42"/>
      <c r="CVL8" s="42"/>
      <c r="CVM8" s="42"/>
      <c r="CVN8" s="42"/>
      <c r="CVO8" s="42"/>
      <c r="CVP8" s="42"/>
      <c r="CVQ8" s="42"/>
      <c r="CVR8" s="42"/>
      <c r="CVS8" s="42"/>
      <c r="CVT8" s="42"/>
      <c r="CVU8" s="42"/>
      <c r="CVV8" s="42"/>
      <c r="CVW8" s="42"/>
      <c r="CVX8" s="42"/>
      <c r="CVY8" s="42"/>
      <c r="CVZ8" s="42"/>
      <c r="CWA8" s="42"/>
      <c r="CWB8" s="42"/>
      <c r="CWC8" s="42"/>
      <c r="CWD8" s="42"/>
      <c r="CWE8" s="42"/>
      <c r="CWF8" s="42"/>
      <c r="CWG8" s="42"/>
      <c r="CWH8" s="42"/>
      <c r="CWI8" s="42"/>
      <c r="CWJ8" s="42"/>
      <c r="CWK8" s="42"/>
      <c r="CWL8" s="42"/>
      <c r="CWM8" s="42"/>
      <c r="CWN8" s="42"/>
      <c r="CWO8" s="42"/>
      <c r="CWP8" s="42"/>
      <c r="CWQ8" s="42"/>
      <c r="CWR8" s="42"/>
      <c r="CWS8" s="42"/>
      <c r="CWT8" s="42"/>
      <c r="CWU8" s="42"/>
      <c r="CWV8" s="42"/>
      <c r="CWW8" s="42"/>
      <c r="CWX8" s="42"/>
      <c r="CWY8" s="42"/>
      <c r="CWZ8" s="42"/>
      <c r="CXA8" s="42"/>
      <c r="CXB8" s="42"/>
      <c r="CXC8" s="42"/>
      <c r="CXD8" s="42"/>
      <c r="CXE8" s="42"/>
      <c r="CXF8" s="42"/>
      <c r="CXG8" s="42"/>
      <c r="CXH8" s="42"/>
      <c r="CXI8" s="42"/>
      <c r="CXJ8" s="42"/>
      <c r="CXK8" s="42"/>
      <c r="CXL8" s="42"/>
      <c r="CXM8" s="42"/>
      <c r="CXN8" s="42"/>
      <c r="CXO8" s="42"/>
      <c r="CXP8" s="42"/>
      <c r="CXQ8" s="42"/>
      <c r="CXR8" s="42"/>
      <c r="CXS8" s="42"/>
      <c r="CXT8" s="42"/>
      <c r="CXU8" s="42"/>
      <c r="CXV8" s="42"/>
      <c r="CXW8" s="42"/>
      <c r="CXX8" s="42"/>
      <c r="CXY8" s="42"/>
      <c r="CXZ8" s="42"/>
      <c r="CYA8" s="42"/>
      <c r="CYB8" s="42"/>
      <c r="CYC8" s="42"/>
      <c r="CYD8" s="42"/>
      <c r="CYE8" s="42"/>
      <c r="CYF8" s="42"/>
      <c r="CYG8" s="42"/>
      <c r="CYH8" s="42"/>
      <c r="CYI8" s="42"/>
      <c r="CYJ8" s="42"/>
      <c r="CYK8" s="42"/>
      <c r="CYL8" s="42"/>
      <c r="CYM8" s="42"/>
      <c r="CYN8" s="42"/>
      <c r="CYO8" s="42"/>
      <c r="CYP8" s="42"/>
      <c r="CYQ8" s="42"/>
      <c r="CYR8" s="42"/>
      <c r="CYS8" s="42"/>
      <c r="CYT8" s="42"/>
      <c r="CYU8" s="42"/>
      <c r="CYV8" s="42"/>
      <c r="CYW8" s="42"/>
      <c r="CYX8" s="42"/>
      <c r="CYY8" s="42"/>
      <c r="CYZ8" s="42"/>
      <c r="CZA8" s="42"/>
      <c r="CZB8" s="42"/>
      <c r="CZC8" s="42"/>
      <c r="CZD8" s="42"/>
      <c r="CZE8" s="42"/>
      <c r="CZF8" s="42"/>
      <c r="CZG8" s="42"/>
      <c r="CZH8" s="42"/>
      <c r="CZI8" s="42"/>
      <c r="CZJ8" s="42"/>
      <c r="CZK8" s="42"/>
      <c r="CZL8" s="42"/>
      <c r="CZM8" s="42"/>
      <c r="CZN8" s="42"/>
      <c r="CZO8" s="42"/>
      <c r="CZP8" s="42"/>
      <c r="CZQ8" s="42"/>
      <c r="CZR8" s="42"/>
      <c r="CZS8" s="42"/>
      <c r="CZT8" s="42"/>
      <c r="CZU8" s="42"/>
      <c r="CZV8" s="42"/>
      <c r="CZW8" s="42"/>
      <c r="CZX8" s="42"/>
      <c r="CZY8" s="42"/>
      <c r="CZZ8" s="42"/>
      <c r="DAA8" s="42"/>
      <c r="DAB8" s="42"/>
      <c r="DAC8" s="42"/>
      <c r="DAD8" s="42"/>
      <c r="DAE8" s="42"/>
      <c r="DAF8" s="42"/>
      <c r="DAG8" s="42"/>
      <c r="DAH8" s="42"/>
      <c r="DAI8" s="42"/>
      <c r="DAJ8" s="42"/>
      <c r="DAK8" s="42"/>
      <c r="DAL8" s="42"/>
      <c r="DAM8" s="42"/>
      <c r="DAN8" s="42"/>
      <c r="DAO8" s="42"/>
      <c r="DAP8" s="42"/>
      <c r="DAQ8" s="42"/>
      <c r="DAR8" s="42"/>
      <c r="DAS8" s="42"/>
      <c r="DAT8" s="42"/>
      <c r="DAU8" s="42"/>
      <c r="DAV8" s="42"/>
      <c r="DAW8" s="42"/>
      <c r="DAX8" s="42"/>
      <c r="DAY8" s="42"/>
      <c r="DAZ8" s="42"/>
      <c r="DBA8" s="42"/>
      <c r="DBB8" s="42"/>
      <c r="DBC8" s="42"/>
      <c r="DBD8" s="42"/>
      <c r="DBE8" s="42"/>
      <c r="DBF8" s="42"/>
      <c r="DBG8" s="42"/>
      <c r="DBH8" s="42"/>
      <c r="DBI8" s="42"/>
      <c r="DBJ8" s="42"/>
      <c r="DBK8" s="42"/>
      <c r="DBL8" s="42"/>
      <c r="DBM8" s="42"/>
      <c r="DBN8" s="42"/>
      <c r="DBO8" s="42"/>
      <c r="DBP8" s="42"/>
      <c r="DBQ8" s="42"/>
      <c r="DBR8" s="42"/>
      <c r="DBS8" s="42"/>
      <c r="DBT8" s="42"/>
      <c r="DBU8" s="42"/>
      <c r="DBV8" s="42"/>
      <c r="DBW8" s="42"/>
      <c r="DBX8" s="42"/>
      <c r="DBY8" s="42"/>
      <c r="DBZ8" s="42"/>
      <c r="DCA8" s="42"/>
      <c r="DCB8" s="42"/>
      <c r="DCC8" s="42"/>
      <c r="DCD8" s="42"/>
      <c r="DCE8" s="42"/>
      <c r="DCF8" s="42"/>
      <c r="DCG8" s="42"/>
      <c r="DCH8" s="42"/>
      <c r="DCI8" s="42"/>
      <c r="DCJ8" s="42"/>
      <c r="DCK8" s="42"/>
      <c r="DCL8" s="42"/>
      <c r="DCM8" s="42"/>
      <c r="DCN8" s="42"/>
      <c r="DCO8" s="42"/>
      <c r="DCP8" s="42"/>
      <c r="DCQ8" s="42"/>
      <c r="DCR8" s="42"/>
      <c r="DCS8" s="42"/>
      <c r="DCT8" s="42"/>
      <c r="DCU8" s="42"/>
      <c r="DCV8" s="42"/>
      <c r="DCW8" s="42"/>
      <c r="DCX8" s="42"/>
      <c r="DCY8" s="42"/>
      <c r="DCZ8" s="42"/>
      <c r="DDA8" s="42"/>
      <c r="DDB8" s="42"/>
      <c r="DDC8" s="42"/>
      <c r="DDD8" s="42"/>
      <c r="DDE8" s="42"/>
      <c r="DDF8" s="42"/>
      <c r="DDG8" s="42"/>
      <c r="DDH8" s="42"/>
      <c r="DDI8" s="42"/>
    </row>
    <row r="9" customFormat="false" ht="39.15" hidden="false" customHeight="false" outlineLevel="0" collapsed="false">
      <c r="A9" s="45" t="s">
        <v>22</v>
      </c>
      <c r="B9" s="46" t="n">
        <v>29</v>
      </c>
      <c r="C9" s="46" t="n">
        <v>554</v>
      </c>
      <c r="D9" s="47" t="n">
        <v>514</v>
      </c>
      <c r="E9" s="48" t="s">
        <v>23</v>
      </c>
      <c r="F9" s="46" t="n">
        <v>216.91</v>
      </c>
      <c r="I9" s="49" t="s">
        <v>46</v>
      </c>
      <c r="J9" s="45" t="s">
        <v>25</v>
      </c>
      <c r="K9" s="50" t="s">
        <v>39</v>
      </c>
      <c r="L9" s="45" t="n">
        <f aca="false">(100*1)/1</f>
        <v>100</v>
      </c>
      <c r="M9" s="51" t="n">
        <f aca="false">L9/3</f>
        <v>33.3333333333333</v>
      </c>
      <c r="N9" s="45" t="s">
        <v>40</v>
      </c>
      <c r="O9" s="39"/>
      <c r="P9" s="39"/>
      <c r="Q9" s="39"/>
      <c r="R9" s="40"/>
      <c r="S9" s="39"/>
      <c r="T9" s="41"/>
      <c r="U9" s="39"/>
      <c r="V9" s="42"/>
      <c r="W9" s="39"/>
      <c r="X9" s="39"/>
      <c r="Y9" s="40"/>
      <c r="Z9" s="39"/>
      <c r="AA9" s="41"/>
      <c r="AB9" s="25"/>
      <c r="AC9" s="25"/>
      <c r="AD9" s="39"/>
      <c r="AE9" s="39"/>
      <c r="AF9" s="42"/>
      <c r="AG9" s="39"/>
      <c r="AH9" s="39"/>
      <c r="AI9" s="40"/>
      <c r="AJ9" s="39"/>
      <c r="AK9" s="41"/>
      <c r="AL9" s="25"/>
      <c r="AM9" s="25"/>
      <c r="AN9" s="39"/>
      <c r="AO9" s="39"/>
      <c r="AP9" s="42"/>
      <c r="AQ9" s="39"/>
      <c r="AR9" s="39"/>
      <c r="AS9" s="40"/>
      <c r="AT9" s="39"/>
      <c r="AU9" s="41"/>
      <c r="AV9" s="25"/>
      <c r="AW9" s="25"/>
      <c r="AX9" s="39"/>
      <c r="AY9" s="39"/>
      <c r="AZ9" s="42"/>
      <c r="BA9" s="39"/>
      <c r="BB9" s="39"/>
      <c r="BC9" s="40"/>
      <c r="BD9" s="39"/>
      <c r="BE9" s="41"/>
      <c r="BF9" s="25"/>
      <c r="BG9" s="25"/>
      <c r="BH9" s="39"/>
      <c r="BI9" s="39"/>
      <c r="BJ9" s="42"/>
      <c r="BK9" s="39"/>
      <c r="BL9" s="39"/>
      <c r="BM9" s="40"/>
      <c r="BN9" s="39"/>
      <c r="BO9" s="41"/>
      <c r="BP9" s="25"/>
      <c r="BQ9" s="25"/>
      <c r="BR9" s="39"/>
      <c r="BS9" s="39"/>
      <c r="BT9" s="42"/>
      <c r="BU9" s="39"/>
      <c r="BV9" s="39"/>
      <c r="BW9" s="40"/>
      <c r="BX9" s="39"/>
      <c r="BY9" s="41"/>
      <c r="BZ9" s="25"/>
      <c r="CA9" s="25"/>
      <c r="CB9" s="39"/>
      <c r="CC9" s="39"/>
      <c r="CD9" s="42"/>
      <c r="CE9" s="39"/>
      <c r="CF9" s="39"/>
      <c r="CG9" s="40"/>
      <c r="CH9" s="39"/>
      <c r="CI9" s="41"/>
      <c r="CJ9" s="25"/>
      <c r="CK9" s="25"/>
      <c r="CL9" s="39"/>
      <c r="CM9" s="39"/>
      <c r="CN9" s="42"/>
      <c r="CO9" s="39"/>
      <c r="CP9" s="39"/>
      <c r="CQ9" s="40"/>
      <c r="CR9" s="39"/>
      <c r="CS9" s="41"/>
      <c r="CT9" s="25"/>
      <c r="CU9" s="25"/>
      <c r="CV9" s="39"/>
      <c r="CW9" s="39"/>
      <c r="CX9" s="42"/>
      <c r="CY9" s="39"/>
      <c r="CZ9" s="39"/>
      <c r="DA9" s="40"/>
      <c r="DB9" s="39"/>
      <c r="DC9" s="41"/>
      <c r="DD9" s="25"/>
      <c r="DE9" s="25"/>
      <c r="DF9" s="39"/>
      <c r="DG9" s="39"/>
      <c r="DH9" s="42"/>
      <c r="DI9" s="39"/>
      <c r="DJ9" s="39"/>
      <c r="DK9" s="40"/>
      <c r="DL9" s="39"/>
      <c r="DM9" s="41"/>
      <c r="DN9" s="25"/>
      <c r="DO9" s="25"/>
      <c r="DP9" s="39"/>
      <c r="DQ9" s="39"/>
      <c r="DR9" s="42"/>
      <c r="DS9" s="39"/>
      <c r="DT9" s="39"/>
      <c r="DU9" s="40"/>
      <c r="DV9" s="39"/>
      <c r="DW9" s="41"/>
      <c r="DX9" s="25"/>
      <c r="DY9" s="25"/>
      <c r="DZ9" s="39"/>
      <c r="EA9" s="39"/>
      <c r="EB9" s="42"/>
      <c r="EC9" s="39"/>
      <c r="ED9" s="39"/>
      <c r="EE9" s="40"/>
      <c r="EF9" s="39"/>
      <c r="EG9" s="41"/>
      <c r="EH9" s="25"/>
      <c r="EI9" s="25"/>
      <c r="EJ9" s="39"/>
      <c r="EK9" s="39"/>
      <c r="EL9" s="42"/>
      <c r="EM9" s="39"/>
      <c r="EN9" s="39"/>
      <c r="EO9" s="40"/>
      <c r="EP9" s="39"/>
      <c r="EQ9" s="41"/>
      <c r="ER9" s="25"/>
      <c r="ES9" s="25"/>
      <c r="ET9" s="39"/>
      <c r="EU9" s="39"/>
      <c r="EV9" s="42"/>
      <c r="EW9" s="39"/>
      <c r="EX9" s="39"/>
      <c r="EY9" s="40"/>
      <c r="EZ9" s="39"/>
      <c r="FA9" s="41"/>
      <c r="FB9" s="25"/>
      <c r="FC9" s="25"/>
      <c r="FD9" s="39"/>
      <c r="FE9" s="39"/>
      <c r="FF9" s="42"/>
      <c r="FG9" s="39"/>
      <c r="FH9" s="39"/>
      <c r="FI9" s="40"/>
      <c r="FJ9" s="39"/>
      <c r="FK9" s="41"/>
      <c r="FL9" s="25"/>
      <c r="FM9" s="25"/>
      <c r="FN9" s="39"/>
      <c r="FO9" s="39"/>
      <c r="FP9" s="42"/>
      <c r="FQ9" s="39"/>
      <c r="FR9" s="39"/>
      <c r="FS9" s="40"/>
      <c r="FT9" s="39"/>
      <c r="FU9" s="41"/>
      <c r="FV9" s="25"/>
      <c r="FW9" s="25"/>
      <c r="FX9" s="39"/>
      <c r="FY9" s="39"/>
      <c r="FZ9" s="42"/>
      <c r="GA9" s="39"/>
      <c r="GB9" s="39"/>
      <c r="GC9" s="40"/>
      <c r="GD9" s="39"/>
      <c r="GE9" s="41"/>
      <c r="GF9" s="25"/>
      <c r="GG9" s="25"/>
      <c r="GH9" s="39"/>
      <c r="GI9" s="39"/>
      <c r="GJ9" s="42"/>
      <c r="GK9" s="39"/>
      <c r="GL9" s="39"/>
      <c r="GM9" s="40"/>
      <c r="GN9" s="39"/>
      <c r="GO9" s="41"/>
      <c r="GP9" s="25"/>
      <c r="GQ9" s="25"/>
      <c r="GR9" s="39"/>
      <c r="GS9" s="39"/>
      <c r="GT9" s="42"/>
      <c r="GU9" s="39"/>
      <c r="GV9" s="39"/>
      <c r="GW9" s="40"/>
      <c r="GX9" s="39"/>
      <c r="GY9" s="41"/>
      <c r="GZ9" s="25"/>
      <c r="HA9" s="25"/>
      <c r="HB9" s="39"/>
      <c r="HC9" s="39"/>
      <c r="HD9" s="42"/>
      <c r="HE9" s="39"/>
      <c r="HF9" s="39"/>
      <c r="HG9" s="40"/>
      <c r="HH9" s="39"/>
      <c r="HI9" s="41"/>
      <c r="HJ9" s="25"/>
      <c r="HK9" s="25"/>
      <c r="HL9" s="39"/>
      <c r="HM9" s="39"/>
      <c r="HN9" s="42"/>
      <c r="HO9" s="39"/>
      <c r="HP9" s="39"/>
      <c r="HQ9" s="40"/>
      <c r="HR9" s="39"/>
      <c r="HS9" s="41"/>
      <c r="HT9" s="25"/>
      <c r="HU9" s="25"/>
      <c r="HV9" s="39"/>
      <c r="HW9" s="39"/>
      <c r="HX9" s="42"/>
      <c r="HY9" s="39"/>
      <c r="HZ9" s="39"/>
      <c r="IA9" s="40"/>
      <c r="IB9" s="39"/>
      <c r="IC9" s="41"/>
      <c r="ID9" s="25"/>
      <c r="IE9" s="25"/>
      <c r="IF9" s="39"/>
      <c r="IG9" s="39"/>
      <c r="IH9" s="42"/>
      <c r="II9" s="39"/>
      <c r="IJ9" s="39"/>
      <c r="IK9" s="40"/>
      <c r="IL9" s="39"/>
      <c r="IM9" s="41"/>
      <c r="IN9" s="25"/>
      <c r="IO9" s="25"/>
      <c r="IP9" s="39"/>
      <c r="IQ9" s="39"/>
      <c r="IR9" s="42"/>
      <c r="IS9" s="39"/>
      <c r="IT9" s="39"/>
      <c r="IU9" s="40"/>
      <c r="IV9" s="39"/>
      <c r="IW9" s="41"/>
      <c r="IX9" s="25"/>
      <c r="IY9" s="25"/>
      <c r="IZ9" s="39"/>
      <c r="JA9" s="39"/>
      <c r="JB9" s="42"/>
      <c r="JC9" s="39"/>
      <c r="JD9" s="39"/>
      <c r="JE9" s="40"/>
      <c r="JF9" s="39"/>
      <c r="JG9" s="41"/>
      <c r="JH9" s="25"/>
      <c r="JI9" s="25"/>
      <c r="JJ9" s="39"/>
      <c r="JK9" s="39"/>
      <c r="JL9" s="42"/>
      <c r="JM9" s="39"/>
      <c r="JN9" s="39"/>
      <c r="JO9" s="40"/>
      <c r="JP9" s="39"/>
      <c r="JQ9" s="41"/>
      <c r="JR9" s="25"/>
      <c r="JS9" s="25"/>
      <c r="JT9" s="39"/>
      <c r="JU9" s="39"/>
      <c r="JV9" s="42"/>
      <c r="JW9" s="39"/>
      <c r="JX9" s="39"/>
      <c r="JY9" s="40"/>
      <c r="JZ9" s="39"/>
      <c r="KA9" s="41"/>
      <c r="KB9" s="25"/>
      <c r="KC9" s="25"/>
      <c r="KD9" s="39"/>
      <c r="KE9" s="39"/>
      <c r="KF9" s="42"/>
      <c r="KG9" s="39"/>
      <c r="KH9" s="39"/>
      <c r="KI9" s="40"/>
      <c r="KJ9" s="39"/>
      <c r="KK9" s="41"/>
      <c r="KL9" s="25"/>
      <c r="KM9" s="25"/>
      <c r="KN9" s="39"/>
      <c r="KO9" s="39"/>
      <c r="KP9" s="42"/>
      <c r="KQ9" s="39"/>
      <c r="KR9" s="39"/>
      <c r="KS9" s="40"/>
      <c r="KT9" s="39"/>
      <c r="KU9" s="41"/>
      <c r="KV9" s="25"/>
      <c r="KW9" s="25"/>
      <c r="KX9" s="39"/>
      <c r="KY9" s="39"/>
      <c r="KZ9" s="42"/>
      <c r="LA9" s="39"/>
      <c r="LB9" s="39"/>
      <c r="LC9" s="40"/>
      <c r="LD9" s="39"/>
      <c r="LE9" s="41"/>
      <c r="LF9" s="25"/>
      <c r="LG9" s="25"/>
      <c r="LH9" s="39"/>
      <c r="LI9" s="39"/>
      <c r="LJ9" s="42"/>
      <c r="LK9" s="39"/>
      <c r="LL9" s="39"/>
      <c r="LM9" s="40"/>
      <c r="LN9" s="39"/>
      <c r="LO9" s="41"/>
      <c r="LP9" s="25"/>
      <c r="LQ9" s="25"/>
      <c r="LR9" s="39"/>
      <c r="LS9" s="39"/>
      <c r="LT9" s="42"/>
      <c r="LU9" s="39"/>
      <c r="LV9" s="39"/>
      <c r="LW9" s="40"/>
      <c r="LX9" s="39"/>
      <c r="LY9" s="41"/>
      <c r="LZ9" s="25"/>
      <c r="MA9" s="25"/>
      <c r="MB9" s="39"/>
      <c r="MC9" s="39"/>
      <c r="MD9" s="42"/>
      <c r="ME9" s="39"/>
      <c r="MF9" s="39"/>
      <c r="MG9" s="40"/>
      <c r="MH9" s="39"/>
      <c r="MI9" s="41"/>
      <c r="MJ9" s="25"/>
      <c r="MK9" s="25"/>
      <c r="ML9" s="39"/>
      <c r="MM9" s="39"/>
      <c r="MN9" s="42"/>
      <c r="MO9" s="39"/>
      <c r="MP9" s="39"/>
      <c r="MQ9" s="40"/>
      <c r="MR9" s="39"/>
      <c r="MS9" s="41"/>
      <c r="MT9" s="25"/>
      <c r="MU9" s="25"/>
      <c r="MV9" s="39"/>
      <c r="MW9" s="39"/>
      <c r="MX9" s="42"/>
      <c r="MY9" s="39"/>
      <c r="MZ9" s="39"/>
      <c r="NA9" s="40"/>
      <c r="NB9" s="39"/>
      <c r="NC9" s="41"/>
      <c r="ND9" s="25"/>
      <c r="NE9" s="25"/>
      <c r="NF9" s="39"/>
      <c r="NG9" s="39"/>
      <c r="NH9" s="42"/>
      <c r="NI9" s="39"/>
      <c r="NJ9" s="39"/>
      <c r="NK9" s="40"/>
      <c r="NL9" s="39"/>
      <c r="NM9" s="41"/>
      <c r="NN9" s="25"/>
      <c r="NO9" s="25"/>
      <c r="NP9" s="39"/>
      <c r="NQ9" s="39"/>
      <c r="NR9" s="42"/>
      <c r="NS9" s="39"/>
      <c r="NT9" s="39"/>
      <c r="NU9" s="40"/>
      <c r="NV9" s="39"/>
      <c r="NW9" s="41"/>
      <c r="NX9" s="25"/>
      <c r="NY9" s="25"/>
      <c r="NZ9" s="39"/>
      <c r="OA9" s="39"/>
      <c r="OB9" s="42"/>
      <c r="OC9" s="39"/>
      <c r="OD9" s="39"/>
      <c r="OE9" s="40"/>
      <c r="OF9" s="39"/>
      <c r="OG9" s="41"/>
      <c r="OH9" s="25"/>
      <c r="OI9" s="25"/>
      <c r="OJ9" s="39"/>
      <c r="OK9" s="39"/>
      <c r="OL9" s="42"/>
      <c r="OM9" s="39"/>
      <c r="ON9" s="39"/>
      <c r="OO9" s="40"/>
      <c r="OP9" s="39"/>
      <c r="OQ9" s="41"/>
      <c r="OR9" s="25"/>
      <c r="OS9" s="25"/>
      <c r="OT9" s="39"/>
      <c r="OU9" s="39"/>
      <c r="OV9" s="42"/>
      <c r="OW9" s="39"/>
      <c r="OX9" s="39"/>
      <c r="OY9" s="40"/>
      <c r="OZ9" s="39"/>
      <c r="PA9" s="41"/>
      <c r="PB9" s="25"/>
      <c r="PC9" s="25"/>
      <c r="PD9" s="39"/>
      <c r="PE9" s="39"/>
      <c r="PF9" s="42"/>
      <c r="PG9" s="39"/>
      <c r="PH9" s="39"/>
      <c r="PI9" s="40"/>
      <c r="PJ9" s="39"/>
      <c r="PK9" s="41"/>
      <c r="PL9" s="25"/>
      <c r="PM9" s="25"/>
      <c r="PN9" s="39"/>
      <c r="PO9" s="39"/>
      <c r="PP9" s="42"/>
      <c r="PQ9" s="39"/>
      <c r="PR9" s="39"/>
      <c r="PS9" s="40"/>
      <c r="PT9" s="39"/>
      <c r="PU9" s="41"/>
      <c r="PV9" s="25"/>
      <c r="PW9" s="25"/>
      <c r="PX9" s="39"/>
      <c r="PY9" s="39"/>
      <c r="PZ9" s="42"/>
      <c r="QA9" s="39"/>
      <c r="QB9" s="39"/>
      <c r="QC9" s="40"/>
      <c r="QD9" s="39"/>
      <c r="QE9" s="41"/>
      <c r="QF9" s="25"/>
      <c r="QG9" s="25"/>
      <c r="QH9" s="39"/>
      <c r="QI9" s="39"/>
      <c r="QJ9" s="42"/>
      <c r="QK9" s="39"/>
      <c r="QL9" s="39"/>
      <c r="QM9" s="40"/>
      <c r="QN9" s="39"/>
      <c r="QO9" s="41"/>
      <c r="QP9" s="25"/>
      <c r="QQ9" s="25"/>
      <c r="QR9" s="39"/>
      <c r="QS9" s="39"/>
      <c r="QT9" s="42"/>
      <c r="QU9" s="39"/>
      <c r="QV9" s="39"/>
      <c r="QW9" s="40"/>
      <c r="QX9" s="39"/>
      <c r="QY9" s="41"/>
      <c r="QZ9" s="25"/>
      <c r="RA9" s="25"/>
      <c r="RB9" s="39"/>
      <c r="RC9" s="39"/>
      <c r="RD9" s="42"/>
      <c r="RE9" s="39"/>
      <c r="RF9" s="39"/>
      <c r="RG9" s="40"/>
      <c r="RH9" s="39"/>
      <c r="RI9" s="41"/>
      <c r="RJ9" s="25"/>
      <c r="RK9" s="25"/>
      <c r="RL9" s="39"/>
      <c r="RM9" s="39"/>
      <c r="RN9" s="42"/>
      <c r="RO9" s="39"/>
      <c r="RP9" s="39"/>
      <c r="RQ9" s="40"/>
      <c r="RR9" s="39"/>
      <c r="RS9" s="41"/>
      <c r="RT9" s="25"/>
      <c r="RU9" s="25"/>
      <c r="RV9" s="39"/>
      <c r="RW9" s="39"/>
      <c r="RX9" s="42"/>
      <c r="RY9" s="39"/>
      <c r="RZ9" s="39"/>
      <c r="SA9" s="40"/>
      <c r="SB9" s="39"/>
      <c r="SC9" s="41"/>
      <c r="SD9" s="25"/>
      <c r="SE9" s="25"/>
      <c r="SF9" s="39"/>
      <c r="SG9" s="39"/>
      <c r="SH9" s="42"/>
      <c r="SI9" s="39"/>
      <c r="SJ9" s="39"/>
      <c r="SK9" s="40"/>
      <c r="SL9" s="39"/>
      <c r="SM9" s="41"/>
      <c r="SN9" s="25"/>
      <c r="SO9" s="25"/>
      <c r="SP9" s="39"/>
      <c r="SQ9" s="39"/>
      <c r="SR9" s="42"/>
      <c r="SS9" s="39"/>
      <c r="ST9" s="39"/>
      <c r="SU9" s="40"/>
      <c r="SV9" s="39"/>
      <c r="SW9" s="41"/>
      <c r="SX9" s="25"/>
      <c r="SY9" s="25"/>
      <c r="SZ9" s="39"/>
      <c r="TA9" s="39"/>
      <c r="TB9" s="42"/>
      <c r="TC9" s="39"/>
      <c r="TD9" s="39"/>
      <c r="TE9" s="40"/>
      <c r="TF9" s="39"/>
      <c r="TG9" s="41"/>
      <c r="TH9" s="25"/>
      <c r="TI9" s="25"/>
      <c r="TJ9" s="39"/>
      <c r="TK9" s="39"/>
      <c r="TL9" s="42"/>
      <c r="TM9" s="39"/>
      <c r="TN9" s="39"/>
      <c r="TO9" s="40"/>
      <c r="TP9" s="39"/>
      <c r="TQ9" s="41"/>
      <c r="TR9" s="25"/>
      <c r="TS9" s="25"/>
      <c r="TT9" s="39"/>
      <c r="TU9" s="39"/>
      <c r="TV9" s="42"/>
      <c r="TW9" s="39"/>
      <c r="TX9" s="39"/>
      <c r="TY9" s="40"/>
      <c r="TZ9" s="39"/>
      <c r="UA9" s="41"/>
      <c r="UB9" s="25"/>
      <c r="UC9" s="25"/>
      <c r="UD9" s="39"/>
      <c r="UE9" s="39"/>
      <c r="UF9" s="42"/>
      <c r="UG9" s="39"/>
      <c r="UH9" s="39"/>
      <c r="UI9" s="40"/>
      <c r="UJ9" s="39"/>
      <c r="UK9" s="41"/>
      <c r="UL9" s="25"/>
      <c r="UM9" s="25"/>
      <c r="UN9" s="39"/>
      <c r="UO9" s="39"/>
      <c r="UP9" s="42"/>
      <c r="UQ9" s="39"/>
      <c r="UR9" s="39"/>
      <c r="US9" s="40"/>
      <c r="UT9" s="39"/>
      <c r="UU9" s="41"/>
      <c r="UV9" s="25"/>
      <c r="UW9" s="25"/>
      <c r="UX9" s="39"/>
      <c r="UY9" s="39"/>
      <c r="UZ9" s="42"/>
      <c r="VA9" s="39"/>
      <c r="VB9" s="39"/>
      <c r="VC9" s="40"/>
      <c r="VD9" s="39"/>
      <c r="VE9" s="41"/>
      <c r="VF9" s="25"/>
      <c r="VG9" s="25"/>
      <c r="VH9" s="39"/>
      <c r="VI9" s="39"/>
      <c r="VJ9" s="42"/>
      <c r="VK9" s="39"/>
      <c r="VL9" s="39"/>
      <c r="VM9" s="40"/>
      <c r="VN9" s="39"/>
      <c r="VO9" s="41"/>
      <c r="VP9" s="25"/>
      <c r="VQ9" s="25"/>
      <c r="VR9" s="39"/>
      <c r="VS9" s="39"/>
      <c r="VT9" s="42"/>
      <c r="VU9" s="39"/>
      <c r="VV9" s="39"/>
      <c r="VW9" s="40"/>
      <c r="VX9" s="39"/>
      <c r="VY9" s="41"/>
      <c r="VZ9" s="25"/>
      <c r="WA9" s="25"/>
      <c r="WB9" s="39"/>
      <c r="WC9" s="39"/>
      <c r="WD9" s="42"/>
      <c r="WE9" s="39"/>
      <c r="WF9" s="39"/>
      <c r="WG9" s="40"/>
      <c r="WH9" s="39"/>
      <c r="WI9" s="41"/>
      <c r="WJ9" s="25"/>
      <c r="WK9" s="25"/>
      <c r="WL9" s="39"/>
      <c r="WM9" s="39"/>
      <c r="WN9" s="42"/>
      <c r="WO9" s="39"/>
      <c r="WP9" s="39"/>
      <c r="WQ9" s="40"/>
      <c r="WR9" s="39"/>
      <c r="WS9" s="41"/>
      <c r="WT9" s="25"/>
      <c r="WU9" s="25"/>
      <c r="WV9" s="39"/>
      <c r="WW9" s="39"/>
      <c r="WX9" s="42"/>
      <c r="WY9" s="39"/>
      <c r="WZ9" s="39"/>
      <c r="XA9" s="40"/>
      <c r="XB9" s="39"/>
      <c r="XC9" s="41"/>
      <c r="XD9" s="25"/>
      <c r="XE9" s="25"/>
      <c r="XF9" s="39"/>
      <c r="XG9" s="39"/>
      <c r="XH9" s="42"/>
      <c r="XI9" s="39"/>
      <c r="XJ9" s="39"/>
      <c r="XK9" s="40"/>
      <c r="XL9" s="39"/>
      <c r="XM9" s="41"/>
      <c r="XN9" s="25"/>
      <c r="XO9" s="25"/>
      <c r="XP9" s="39"/>
      <c r="XQ9" s="39"/>
      <c r="XR9" s="42"/>
      <c r="XS9" s="39"/>
      <c r="XT9" s="39"/>
      <c r="XU9" s="40"/>
      <c r="XV9" s="39"/>
      <c r="XW9" s="41"/>
      <c r="XX9" s="25"/>
      <c r="XY9" s="25"/>
      <c r="XZ9" s="39"/>
      <c r="YA9" s="39"/>
      <c r="YB9" s="42"/>
      <c r="YC9" s="39"/>
      <c r="YD9" s="39"/>
      <c r="YE9" s="40"/>
      <c r="YF9" s="39"/>
      <c r="YG9" s="41"/>
      <c r="YH9" s="25"/>
      <c r="YI9" s="25"/>
      <c r="YJ9" s="39"/>
      <c r="YK9" s="39"/>
      <c r="YL9" s="42"/>
      <c r="YM9" s="39"/>
      <c r="YN9" s="39"/>
      <c r="YO9" s="40"/>
      <c r="YP9" s="39"/>
      <c r="YQ9" s="41"/>
      <c r="YR9" s="25"/>
      <c r="YS9" s="25"/>
      <c r="YT9" s="39"/>
      <c r="YU9" s="39"/>
      <c r="YV9" s="42"/>
      <c r="YW9" s="39"/>
      <c r="YX9" s="39"/>
      <c r="YY9" s="40"/>
      <c r="YZ9" s="39"/>
      <c r="ZA9" s="41"/>
      <c r="ZB9" s="25"/>
      <c r="ZC9" s="25"/>
      <c r="ZD9" s="39"/>
      <c r="ZE9" s="39"/>
      <c r="ZF9" s="42"/>
      <c r="ZG9" s="39"/>
      <c r="ZH9" s="39"/>
      <c r="ZI9" s="40"/>
      <c r="ZJ9" s="39"/>
      <c r="ZK9" s="41"/>
      <c r="ZL9" s="25"/>
      <c r="ZM9" s="25"/>
      <c r="ZN9" s="39"/>
      <c r="ZO9" s="39"/>
      <c r="ZP9" s="42"/>
      <c r="ZQ9" s="39"/>
      <c r="ZR9" s="39"/>
      <c r="ZS9" s="40"/>
      <c r="ZT9" s="39"/>
      <c r="ZU9" s="41"/>
      <c r="ZV9" s="25"/>
      <c r="ZW9" s="25"/>
      <c r="ZX9" s="39"/>
      <c r="ZY9" s="39"/>
      <c r="ZZ9" s="42"/>
      <c r="AAA9" s="39"/>
      <c r="AAB9" s="39"/>
      <c r="AAC9" s="40"/>
      <c r="AAD9" s="39"/>
      <c r="AAE9" s="41"/>
      <c r="AAF9" s="25"/>
      <c r="AAG9" s="25"/>
      <c r="AAH9" s="39"/>
      <c r="AAI9" s="39"/>
      <c r="AAJ9" s="42"/>
      <c r="AAK9" s="39"/>
      <c r="AAL9" s="39"/>
      <c r="AAM9" s="40"/>
      <c r="AAN9" s="39"/>
      <c r="AAO9" s="41"/>
      <c r="AAP9" s="25"/>
      <c r="AAQ9" s="25"/>
      <c r="AAR9" s="39"/>
      <c r="AAS9" s="39"/>
      <c r="AAT9" s="42"/>
      <c r="AAU9" s="39"/>
      <c r="AAV9" s="39"/>
      <c r="AAW9" s="40"/>
      <c r="AAX9" s="39"/>
      <c r="AAY9" s="41"/>
      <c r="AAZ9" s="25"/>
      <c r="ABA9" s="25"/>
      <c r="ABB9" s="39"/>
      <c r="ABC9" s="39"/>
      <c r="ABD9" s="42"/>
      <c r="ABE9" s="39"/>
      <c r="ABF9" s="39"/>
      <c r="ABG9" s="40"/>
      <c r="ABH9" s="39"/>
      <c r="ABI9" s="41"/>
      <c r="ABJ9" s="25"/>
      <c r="ABK9" s="25"/>
      <c r="ABL9" s="39"/>
      <c r="ABM9" s="39"/>
      <c r="ABN9" s="42"/>
      <c r="ABO9" s="39"/>
      <c r="ABP9" s="39"/>
      <c r="ABQ9" s="40"/>
      <c r="ABR9" s="39"/>
      <c r="ABS9" s="41"/>
      <c r="ABT9" s="25"/>
      <c r="ABU9" s="25"/>
      <c r="ABV9" s="39"/>
      <c r="ABW9" s="39"/>
      <c r="ABX9" s="42"/>
      <c r="ABY9" s="39"/>
      <c r="ABZ9" s="39"/>
      <c r="ACA9" s="40"/>
      <c r="ACB9" s="39"/>
      <c r="ACC9" s="41"/>
      <c r="ACD9" s="25"/>
      <c r="ACE9" s="25"/>
      <c r="ACF9" s="39"/>
      <c r="ACG9" s="39"/>
      <c r="ACH9" s="42"/>
      <c r="ACI9" s="39"/>
      <c r="ACJ9" s="39"/>
      <c r="ACK9" s="40"/>
      <c r="ACL9" s="39"/>
      <c r="ACM9" s="41"/>
      <c r="ACN9" s="25"/>
      <c r="ACO9" s="25"/>
      <c r="ACP9" s="39"/>
      <c r="ACQ9" s="39"/>
      <c r="ACR9" s="42"/>
      <c r="ACS9" s="39"/>
      <c r="ACT9" s="39"/>
      <c r="ACU9" s="40"/>
      <c r="ACV9" s="39"/>
      <c r="ACW9" s="41"/>
      <c r="ACX9" s="25"/>
      <c r="ACY9" s="25"/>
      <c r="ACZ9" s="39"/>
      <c r="ADA9" s="39"/>
      <c r="ADB9" s="42"/>
      <c r="ADC9" s="39"/>
      <c r="ADD9" s="39"/>
      <c r="ADE9" s="40"/>
      <c r="ADF9" s="39"/>
      <c r="ADG9" s="41"/>
      <c r="ADH9" s="25"/>
      <c r="ADI9" s="25"/>
      <c r="ADJ9" s="39"/>
      <c r="ADK9" s="39"/>
      <c r="ADL9" s="42"/>
      <c r="ADM9" s="39"/>
      <c r="ADN9" s="39"/>
      <c r="ADO9" s="40"/>
      <c r="ADP9" s="39"/>
      <c r="ADQ9" s="41"/>
      <c r="ADR9" s="25"/>
      <c r="ADS9" s="25"/>
      <c r="ADT9" s="39"/>
      <c r="ADU9" s="39"/>
      <c r="ADV9" s="42"/>
      <c r="ADW9" s="39"/>
      <c r="ADX9" s="39"/>
      <c r="ADY9" s="40"/>
      <c r="ADZ9" s="39"/>
      <c r="AEA9" s="41"/>
      <c r="AEB9" s="25"/>
      <c r="AEC9" s="25"/>
      <c r="AED9" s="39"/>
      <c r="AEE9" s="39"/>
      <c r="AEF9" s="42"/>
      <c r="AEG9" s="39"/>
      <c r="AEH9" s="39"/>
      <c r="AEI9" s="40"/>
      <c r="AEJ9" s="39"/>
      <c r="AEK9" s="41"/>
      <c r="AEL9" s="25"/>
      <c r="AEM9" s="25"/>
      <c r="AEN9" s="39"/>
      <c r="AEO9" s="39"/>
      <c r="AEP9" s="42"/>
      <c r="AEQ9" s="39"/>
      <c r="AER9" s="39"/>
      <c r="AES9" s="40"/>
      <c r="AET9" s="39"/>
      <c r="AEU9" s="41"/>
      <c r="AEV9" s="25"/>
      <c r="AEW9" s="25"/>
      <c r="AEX9" s="39"/>
      <c r="AEY9" s="39"/>
      <c r="AEZ9" s="42"/>
      <c r="AFA9" s="39"/>
      <c r="AFB9" s="39"/>
      <c r="AFC9" s="40"/>
      <c r="AFD9" s="39"/>
      <c r="AFE9" s="41"/>
      <c r="AFF9" s="25"/>
      <c r="AFG9" s="25"/>
      <c r="AFH9" s="39"/>
      <c r="AFI9" s="39"/>
      <c r="AFJ9" s="42"/>
      <c r="AFK9" s="39"/>
      <c r="AFL9" s="39"/>
      <c r="AFM9" s="40"/>
      <c r="AFN9" s="39"/>
      <c r="AFO9" s="41"/>
      <c r="AFP9" s="25"/>
      <c r="AFQ9" s="25"/>
      <c r="AFR9" s="39"/>
      <c r="AFS9" s="39"/>
      <c r="AFT9" s="42"/>
      <c r="AFU9" s="39"/>
      <c r="AFV9" s="39"/>
      <c r="AFW9" s="40"/>
      <c r="AFX9" s="39"/>
      <c r="AFY9" s="41"/>
      <c r="AFZ9" s="25"/>
      <c r="AGA9" s="25"/>
      <c r="AGB9" s="39"/>
      <c r="AGC9" s="39"/>
      <c r="AGD9" s="42"/>
      <c r="AGE9" s="39"/>
      <c r="AGF9" s="39"/>
      <c r="AGG9" s="40"/>
      <c r="AGH9" s="39"/>
      <c r="AGI9" s="41"/>
      <c r="AGJ9" s="25"/>
      <c r="AGK9" s="25"/>
      <c r="AGL9" s="39"/>
      <c r="AGM9" s="39"/>
      <c r="AGN9" s="42"/>
      <c r="AGO9" s="39"/>
      <c r="AGP9" s="39"/>
      <c r="AGQ9" s="40"/>
      <c r="AGR9" s="39"/>
      <c r="AGS9" s="41"/>
      <c r="AGT9" s="25"/>
      <c r="AGU9" s="25"/>
      <c r="AGV9" s="39"/>
      <c r="AGW9" s="39"/>
      <c r="AGX9" s="42"/>
      <c r="AGY9" s="39"/>
      <c r="AGZ9" s="39"/>
      <c r="AHA9" s="40"/>
      <c r="AHB9" s="39"/>
      <c r="AHC9" s="41"/>
      <c r="AHD9" s="25"/>
      <c r="AHE9" s="25"/>
      <c r="AHF9" s="39"/>
      <c r="AHG9" s="39"/>
      <c r="AHH9" s="42"/>
      <c r="AHI9" s="39"/>
      <c r="AHJ9" s="39"/>
      <c r="AHK9" s="40"/>
      <c r="AHL9" s="39"/>
      <c r="AHM9" s="41"/>
      <c r="AHN9" s="25"/>
      <c r="AHO9" s="25"/>
      <c r="AHP9" s="39"/>
      <c r="AHQ9" s="39"/>
      <c r="AHR9" s="42"/>
      <c r="AHS9" s="39"/>
      <c r="AHT9" s="39"/>
      <c r="AHU9" s="40"/>
      <c r="AHV9" s="39"/>
      <c r="AHW9" s="41"/>
      <c r="AHX9" s="25"/>
      <c r="AHY9" s="25"/>
      <c r="AHZ9" s="39"/>
      <c r="AIA9" s="39"/>
      <c r="AIB9" s="42"/>
      <c r="AIC9" s="39"/>
      <c r="AID9" s="39"/>
      <c r="AIE9" s="40"/>
      <c r="AIF9" s="39"/>
      <c r="AIG9" s="41"/>
      <c r="AIH9" s="25"/>
      <c r="AII9" s="25"/>
      <c r="AIJ9" s="39"/>
      <c r="AIK9" s="39"/>
      <c r="AIL9" s="42"/>
      <c r="AIM9" s="39"/>
      <c r="AIN9" s="39"/>
      <c r="AIO9" s="40"/>
      <c r="AIP9" s="39"/>
      <c r="AIQ9" s="41"/>
      <c r="AIR9" s="25"/>
      <c r="AIS9" s="25"/>
      <c r="AIT9" s="39"/>
      <c r="AIU9" s="39"/>
      <c r="AIV9" s="42"/>
      <c r="AIW9" s="39"/>
      <c r="AIX9" s="39"/>
      <c r="AIY9" s="40"/>
      <c r="AIZ9" s="39"/>
      <c r="AJA9" s="41"/>
      <c r="AJB9" s="25"/>
      <c r="AJC9" s="25"/>
      <c r="AJD9" s="39"/>
      <c r="AJE9" s="39"/>
      <c r="AJF9" s="42"/>
      <c r="AJG9" s="39"/>
      <c r="AJH9" s="39"/>
      <c r="AJI9" s="40"/>
      <c r="AJJ9" s="39"/>
      <c r="AJK9" s="41"/>
      <c r="AJL9" s="25"/>
      <c r="AJM9" s="25"/>
      <c r="AJN9" s="39"/>
      <c r="AJO9" s="39"/>
      <c r="AJP9" s="42"/>
      <c r="AJQ9" s="39"/>
      <c r="AJR9" s="39"/>
      <c r="AJS9" s="40"/>
      <c r="AJT9" s="39"/>
      <c r="AJU9" s="41"/>
      <c r="AJV9" s="25"/>
      <c r="AJW9" s="25"/>
      <c r="AJX9" s="39"/>
      <c r="AJY9" s="39"/>
      <c r="AJZ9" s="42"/>
      <c r="AKA9" s="39"/>
      <c r="AKB9" s="39"/>
      <c r="AKC9" s="40"/>
      <c r="AKD9" s="39"/>
      <c r="AKE9" s="41"/>
      <c r="AKF9" s="25"/>
      <c r="AKG9" s="25"/>
      <c r="AKH9" s="39"/>
      <c r="AKI9" s="39"/>
      <c r="AKJ9" s="42"/>
      <c r="AKK9" s="39"/>
      <c r="AKL9" s="39"/>
      <c r="AKM9" s="40"/>
      <c r="AKN9" s="39"/>
      <c r="AKO9" s="41"/>
      <c r="AKP9" s="25"/>
      <c r="AKQ9" s="25"/>
      <c r="AKR9" s="39"/>
      <c r="AKS9" s="39"/>
      <c r="AKT9" s="42"/>
      <c r="AKU9" s="39"/>
      <c r="AKV9" s="39"/>
      <c r="AKW9" s="40"/>
      <c r="AKX9" s="39"/>
      <c r="AKY9" s="41"/>
      <c r="AKZ9" s="25"/>
      <c r="ALA9" s="25"/>
      <c r="ALB9" s="39"/>
      <c r="ALC9" s="39"/>
      <c r="ALD9" s="42"/>
      <c r="ALE9" s="39"/>
      <c r="ALF9" s="39"/>
      <c r="ALG9" s="40"/>
      <c r="ALH9" s="39"/>
      <c r="ALI9" s="41"/>
      <c r="ALJ9" s="25"/>
      <c r="ALK9" s="25"/>
      <c r="ALL9" s="39"/>
      <c r="ALM9" s="39"/>
      <c r="ALN9" s="42"/>
      <c r="ALO9" s="39"/>
      <c r="ALP9" s="39"/>
      <c r="ALQ9" s="40"/>
      <c r="ALR9" s="39"/>
      <c r="ALS9" s="41"/>
      <c r="ALT9" s="25"/>
      <c r="ALU9" s="25"/>
      <c r="ALV9" s="39"/>
      <c r="ALW9" s="39"/>
      <c r="ALX9" s="42"/>
      <c r="ALY9" s="39"/>
      <c r="ALZ9" s="39"/>
      <c r="AMA9" s="40"/>
      <c r="AMB9" s="39"/>
      <c r="AMC9" s="41"/>
      <c r="AMD9" s="25"/>
      <c r="AME9" s="25"/>
      <c r="AMF9" s="39"/>
      <c r="AMG9" s="39"/>
      <c r="AMH9" s="42"/>
      <c r="AMI9" s="39"/>
      <c r="AMJ9" s="39"/>
      <c r="AMK9" s="40"/>
      <c r="AML9" s="39"/>
      <c r="AMM9" s="41"/>
      <c r="AMN9" s="25"/>
      <c r="AMO9" s="25"/>
      <c r="AMP9" s="39"/>
      <c r="AMQ9" s="39"/>
      <c r="AMR9" s="42"/>
      <c r="AMS9" s="39"/>
      <c r="AMT9" s="39"/>
      <c r="AMU9" s="40"/>
      <c r="AMV9" s="39"/>
      <c r="AMW9" s="41"/>
      <c r="AMX9" s="25"/>
      <c r="AMY9" s="25"/>
      <c r="AMZ9" s="39"/>
      <c r="ANA9" s="39"/>
      <c r="ANB9" s="42"/>
      <c r="ANC9" s="39"/>
      <c r="AND9" s="39"/>
      <c r="ANE9" s="40"/>
      <c r="ANF9" s="39"/>
      <c r="ANG9" s="41"/>
      <c r="ANH9" s="25"/>
      <c r="ANI9" s="25"/>
      <c r="ANJ9" s="39"/>
      <c r="ANK9" s="39"/>
      <c r="ANL9" s="42"/>
      <c r="ANM9" s="39"/>
      <c r="ANN9" s="39"/>
      <c r="ANO9" s="40"/>
      <c r="ANP9" s="39"/>
      <c r="ANQ9" s="41"/>
      <c r="ANR9" s="25"/>
      <c r="ANS9" s="25"/>
      <c r="ANT9" s="39"/>
      <c r="ANU9" s="39"/>
      <c r="ANV9" s="42"/>
      <c r="ANW9" s="39"/>
      <c r="ANX9" s="39"/>
      <c r="ANY9" s="40"/>
      <c r="ANZ9" s="39"/>
      <c r="AOA9" s="41"/>
      <c r="AOB9" s="25"/>
      <c r="AOC9" s="25"/>
      <c r="AOD9" s="39"/>
      <c r="AOE9" s="39"/>
      <c r="AOF9" s="42"/>
      <c r="AOG9" s="39"/>
      <c r="AOH9" s="39"/>
      <c r="AOI9" s="40"/>
      <c r="AOJ9" s="39"/>
      <c r="AOK9" s="41"/>
      <c r="AOL9" s="25"/>
      <c r="AOM9" s="25"/>
      <c r="AON9" s="39"/>
      <c r="AOO9" s="39"/>
      <c r="AOP9" s="42"/>
      <c r="AOQ9" s="39"/>
      <c r="AOR9" s="39"/>
      <c r="AOS9" s="40"/>
      <c r="AOT9" s="39"/>
      <c r="AOU9" s="41"/>
      <c r="AOV9" s="25"/>
      <c r="AOW9" s="25"/>
      <c r="AOX9" s="39"/>
      <c r="AOY9" s="39"/>
      <c r="AOZ9" s="42"/>
      <c r="APA9" s="39"/>
      <c r="APB9" s="39"/>
      <c r="APC9" s="40"/>
      <c r="APD9" s="39"/>
      <c r="APE9" s="41"/>
      <c r="APF9" s="25"/>
      <c r="APG9" s="25"/>
      <c r="APH9" s="39"/>
      <c r="API9" s="39"/>
      <c r="APJ9" s="42"/>
      <c r="APK9" s="39"/>
      <c r="APL9" s="39"/>
      <c r="APM9" s="40"/>
      <c r="APN9" s="39"/>
      <c r="APO9" s="41"/>
      <c r="APP9" s="25"/>
      <c r="APQ9" s="25"/>
      <c r="APR9" s="39"/>
      <c r="APS9" s="39"/>
      <c r="APT9" s="42"/>
      <c r="APU9" s="39"/>
      <c r="APV9" s="39"/>
      <c r="APW9" s="40"/>
      <c r="APX9" s="39"/>
      <c r="APY9" s="41"/>
      <c r="APZ9" s="25"/>
      <c r="AQA9" s="25"/>
      <c r="AQB9" s="39"/>
      <c r="AQC9" s="39"/>
      <c r="AQD9" s="42"/>
      <c r="AQE9" s="39"/>
      <c r="AQF9" s="39"/>
      <c r="AQG9" s="40"/>
      <c r="AQH9" s="39"/>
      <c r="AQI9" s="41"/>
      <c r="AQJ9" s="25"/>
      <c r="AQK9" s="25"/>
      <c r="AQL9" s="39"/>
      <c r="AQM9" s="39"/>
      <c r="AQN9" s="42"/>
      <c r="AQO9" s="39"/>
      <c r="AQP9" s="39"/>
      <c r="AQQ9" s="40"/>
      <c r="AQR9" s="39"/>
      <c r="AQS9" s="41"/>
      <c r="AQT9" s="25"/>
      <c r="AQU9" s="25"/>
      <c r="AQV9" s="39"/>
      <c r="AQW9" s="39"/>
      <c r="AQX9" s="42"/>
      <c r="AQY9" s="39"/>
      <c r="AQZ9" s="39"/>
      <c r="ARA9" s="40"/>
      <c r="ARB9" s="39"/>
      <c r="ARC9" s="41"/>
      <c r="ARD9" s="25"/>
      <c r="ARE9" s="25"/>
      <c r="ARF9" s="39"/>
      <c r="ARG9" s="39"/>
      <c r="ARH9" s="42"/>
      <c r="ARI9" s="39"/>
      <c r="ARJ9" s="39"/>
      <c r="ARK9" s="40"/>
      <c r="ARL9" s="39"/>
      <c r="ARM9" s="41"/>
      <c r="ARN9" s="25"/>
      <c r="ARO9" s="25"/>
      <c r="ARP9" s="39"/>
      <c r="ARQ9" s="39"/>
      <c r="ARR9" s="42"/>
      <c r="ARS9" s="39"/>
      <c r="ART9" s="39"/>
      <c r="ARU9" s="40"/>
      <c r="ARV9" s="39"/>
      <c r="ARW9" s="41"/>
      <c r="ARX9" s="25"/>
      <c r="ARY9" s="25"/>
      <c r="ARZ9" s="39"/>
      <c r="ASA9" s="39"/>
      <c r="ASB9" s="42"/>
      <c r="ASC9" s="39"/>
      <c r="ASD9" s="39"/>
      <c r="ASE9" s="40"/>
      <c r="ASF9" s="39"/>
      <c r="ASG9" s="41"/>
      <c r="ASH9" s="25"/>
      <c r="ASI9" s="25"/>
      <c r="ASJ9" s="39"/>
      <c r="ASK9" s="39"/>
      <c r="ASL9" s="42"/>
      <c r="ASM9" s="39"/>
      <c r="ASN9" s="39"/>
      <c r="ASO9" s="40"/>
      <c r="ASP9" s="39"/>
      <c r="ASQ9" s="41"/>
      <c r="ASR9" s="25"/>
      <c r="ASS9" s="25"/>
      <c r="AST9" s="39"/>
      <c r="ASU9" s="39"/>
      <c r="ASV9" s="42"/>
      <c r="ASW9" s="39"/>
      <c r="ASX9" s="39"/>
      <c r="ASY9" s="40"/>
      <c r="ASZ9" s="39"/>
      <c r="ATA9" s="41"/>
      <c r="ATB9" s="25"/>
      <c r="ATC9" s="25"/>
      <c r="ATD9" s="39"/>
      <c r="ATE9" s="39"/>
      <c r="ATF9" s="42"/>
      <c r="ATG9" s="39"/>
      <c r="ATH9" s="39"/>
      <c r="ATI9" s="40"/>
      <c r="ATJ9" s="39"/>
      <c r="ATK9" s="41"/>
      <c r="ATL9" s="25"/>
      <c r="ATM9" s="25"/>
      <c r="ATN9" s="39"/>
      <c r="ATO9" s="39"/>
      <c r="ATP9" s="42"/>
      <c r="ATQ9" s="39"/>
      <c r="ATR9" s="39"/>
      <c r="ATS9" s="40"/>
      <c r="ATT9" s="39"/>
      <c r="ATU9" s="41"/>
      <c r="ATV9" s="25"/>
      <c r="ATW9" s="25"/>
      <c r="ATX9" s="39"/>
      <c r="ATY9" s="39"/>
      <c r="ATZ9" s="42"/>
      <c r="AUA9" s="39"/>
      <c r="AUB9" s="39"/>
      <c r="AUC9" s="40"/>
      <c r="AUD9" s="39"/>
      <c r="AUE9" s="41"/>
      <c r="AUF9" s="25"/>
      <c r="AUG9" s="25"/>
      <c r="AUH9" s="39"/>
      <c r="AUI9" s="39"/>
      <c r="AUJ9" s="42"/>
      <c r="AUK9" s="39"/>
      <c r="AUL9" s="39"/>
      <c r="AUM9" s="40"/>
      <c r="AUN9" s="39"/>
      <c r="AUO9" s="41"/>
      <c r="AUP9" s="25"/>
      <c r="AUQ9" s="25"/>
      <c r="AUR9" s="39"/>
      <c r="AUS9" s="39"/>
      <c r="AUT9" s="42"/>
      <c r="AUU9" s="39"/>
      <c r="AUV9" s="39"/>
      <c r="AUW9" s="40"/>
      <c r="AUX9" s="39"/>
      <c r="AUY9" s="41"/>
      <c r="AUZ9" s="25"/>
      <c r="AVA9" s="25"/>
      <c r="AVB9" s="39"/>
      <c r="AVC9" s="39"/>
      <c r="AVD9" s="42"/>
      <c r="AVE9" s="39"/>
      <c r="AVF9" s="39"/>
      <c r="AVG9" s="40"/>
      <c r="AVH9" s="39"/>
      <c r="AVI9" s="41"/>
      <c r="AVJ9" s="25"/>
      <c r="AVK9" s="25"/>
      <c r="AVL9" s="39"/>
      <c r="AVM9" s="39"/>
      <c r="AVN9" s="42"/>
      <c r="AVO9" s="39"/>
      <c r="AVP9" s="39"/>
      <c r="AVQ9" s="40"/>
      <c r="AVR9" s="39"/>
      <c r="AVS9" s="41"/>
      <c r="AVT9" s="25"/>
      <c r="AVU9" s="25"/>
      <c r="AVV9" s="39"/>
      <c r="AVW9" s="39"/>
      <c r="AVX9" s="42"/>
      <c r="AVY9" s="39"/>
      <c r="AVZ9" s="39"/>
      <c r="AWA9" s="40"/>
      <c r="AWB9" s="39"/>
      <c r="AWC9" s="41"/>
      <c r="AWD9" s="25"/>
      <c r="AWE9" s="25"/>
      <c r="AWF9" s="39"/>
      <c r="AWG9" s="39"/>
      <c r="AWH9" s="42"/>
      <c r="AWI9" s="39"/>
      <c r="AWJ9" s="39"/>
      <c r="AWK9" s="40"/>
      <c r="AWL9" s="39"/>
      <c r="AWM9" s="41"/>
      <c r="AWN9" s="25"/>
      <c r="AWO9" s="25"/>
      <c r="AWP9" s="39"/>
      <c r="AWQ9" s="39"/>
      <c r="AWR9" s="42"/>
      <c r="AWS9" s="39"/>
      <c r="AWT9" s="39"/>
      <c r="AWU9" s="40"/>
      <c r="AWV9" s="39"/>
      <c r="AWW9" s="41"/>
      <c r="AWX9" s="25"/>
      <c r="AWY9" s="25"/>
      <c r="AWZ9" s="39"/>
      <c r="AXA9" s="39"/>
      <c r="AXB9" s="42"/>
      <c r="AXC9" s="39"/>
      <c r="AXD9" s="39"/>
      <c r="AXE9" s="40"/>
      <c r="AXF9" s="39"/>
      <c r="AXG9" s="41"/>
      <c r="AXH9" s="25"/>
      <c r="AXI9" s="25"/>
      <c r="AXJ9" s="39"/>
      <c r="AXK9" s="39"/>
      <c r="AXL9" s="42"/>
      <c r="AXM9" s="39"/>
      <c r="AXN9" s="39"/>
      <c r="AXO9" s="40"/>
      <c r="AXP9" s="39"/>
      <c r="AXQ9" s="41"/>
      <c r="AXR9" s="25"/>
      <c r="AXS9" s="25"/>
      <c r="AXT9" s="39"/>
      <c r="AXU9" s="39"/>
      <c r="AXV9" s="42"/>
      <c r="AXW9" s="39"/>
      <c r="AXX9" s="39"/>
      <c r="AXY9" s="40"/>
      <c r="AXZ9" s="39"/>
      <c r="AYA9" s="41"/>
      <c r="AYB9" s="25"/>
      <c r="AYC9" s="25"/>
      <c r="AYD9" s="39"/>
      <c r="AYE9" s="39"/>
      <c r="AYF9" s="42"/>
      <c r="AYG9" s="39"/>
      <c r="AYH9" s="39"/>
      <c r="AYI9" s="40"/>
      <c r="AYJ9" s="39"/>
      <c r="AYK9" s="41"/>
      <c r="AYL9" s="25"/>
      <c r="AYM9" s="25"/>
      <c r="AYN9" s="39"/>
      <c r="AYO9" s="39"/>
      <c r="AYP9" s="42"/>
      <c r="AYQ9" s="39"/>
      <c r="AYR9" s="39"/>
      <c r="AYS9" s="40"/>
      <c r="AYT9" s="39"/>
      <c r="AYU9" s="41"/>
      <c r="AYV9" s="25"/>
      <c r="AYW9" s="25"/>
      <c r="AYX9" s="39"/>
      <c r="AYY9" s="39"/>
      <c r="AYZ9" s="42"/>
      <c r="AZA9" s="39"/>
      <c r="AZB9" s="39"/>
      <c r="AZC9" s="40"/>
      <c r="AZD9" s="39"/>
      <c r="AZE9" s="41"/>
      <c r="AZF9" s="25"/>
      <c r="AZG9" s="25"/>
      <c r="AZH9" s="39"/>
      <c r="AZI9" s="39"/>
      <c r="AZJ9" s="42"/>
      <c r="AZK9" s="39"/>
      <c r="AZL9" s="39"/>
      <c r="AZM9" s="40"/>
      <c r="AZN9" s="39"/>
      <c r="AZO9" s="41"/>
      <c r="AZP9" s="25"/>
      <c r="AZQ9" s="25"/>
      <c r="AZR9" s="39"/>
      <c r="AZS9" s="39"/>
      <c r="AZT9" s="42"/>
      <c r="AZU9" s="39"/>
      <c r="AZV9" s="39"/>
      <c r="AZW9" s="40"/>
      <c r="AZX9" s="39"/>
      <c r="AZY9" s="41"/>
      <c r="AZZ9" s="25"/>
      <c r="BAA9" s="25"/>
      <c r="BAB9" s="39"/>
      <c r="BAC9" s="39"/>
      <c r="BAD9" s="42"/>
      <c r="BAE9" s="39"/>
      <c r="BAF9" s="39"/>
      <c r="BAG9" s="40"/>
      <c r="BAH9" s="39"/>
      <c r="BAI9" s="41"/>
      <c r="BAJ9" s="25"/>
      <c r="BAK9" s="25"/>
      <c r="BAL9" s="39"/>
      <c r="BAM9" s="39"/>
      <c r="BAN9" s="42"/>
      <c r="BAO9" s="39"/>
      <c r="BAP9" s="39"/>
      <c r="BAQ9" s="40"/>
      <c r="BAR9" s="39"/>
      <c r="BAS9" s="41"/>
      <c r="BAT9" s="25"/>
      <c r="BAU9" s="25"/>
      <c r="BAV9" s="39"/>
      <c r="BAW9" s="39"/>
      <c r="BAX9" s="42"/>
      <c r="BAY9" s="39"/>
      <c r="BAZ9" s="39"/>
      <c r="BBA9" s="40"/>
      <c r="BBB9" s="39"/>
      <c r="BBC9" s="41"/>
      <c r="BBD9" s="25"/>
      <c r="BBE9" s="25"/>
      <c r="BBF9" s="39"/>
      <c r="BBG9" s="39"/>
      <c r="BBH9" s="42"/>
      <c r="BBI9" s="39"/>
      <c r="BBJ9" s="39"/>
      <c r="BBK9" s="42"/>
      <c r="BBL9" s="42"/>
      <c r="BBM9" s="42"/>
      <c r="BBN9" s="42"/>
      <c r="BBO9" s="42"/>
      <c r="BBP9" s="42"/>
      <c r="BBQ9" s="42"/>
      <c r="BBR9" s="42"/>
      <c r="BBS9" s="42"/>
      <c r="BBT9" s="42"/>
      <c r="BBU9" s="42"/>
      <c r="BBV9" s="42"/>
      <c r="BBW9" s="42"/>
      <c r="BBX9" s="42"/>
      <c r="BBY9" s="42"/>
      <c r="BBZ9" s="42"/>
      <c r="BCA9" s="42"/>
      <c r="BCB9" s="42"/>
      <c r="BCC9" s="42"/>
      <c r="BCD9" s="42"/>
      <c r="BCE9" s="42"/>
      <c r="BCF9" s="42"/>
      <c r="BCG9" s="42"/>
      <c r="BCH9" s="42"/>
      <c r="BCI9" s="42"/>
      <c r="BCJ9" s="42"/>
      <c r="BCK9" s="42"/>
      <c r="BCL9" s="42"/>
      <c r="BCM9" s="42"/>
      <c r="BCN9" s="42"/>
      <c r="BCO9" s="42"/>
      <c r="BCP9" s="42"/>
      <c r="BCQ9" s="42"/>
      <c r="BCR9" s="42"/>
      <c r="BCS9" s="42"/>
      <c r="BCT9" s="42"/>
      <c r="BCU9" s="42"/>
      <c r="BCV9" s="42"/>
      <c r="BCW9" s="42"/>
      <c r="BCX9" s="42"/>
      <c r="BCY9" s="42"/>
      <c r="BCZ9" s="42"/>
      <c r="BDA9" s="42"/>
      <c r="BDB9" s="42"/>
      <c r="BDC9" s="42"/>
      <c r="BDD9" s="42"/>
      <c r="BDE9" s="42"/>
      <c r="BDF9" s="42"/>
      <c r="BDG9" s="42"/>
      <c r="BDH9" s="42"/>
      <c r="BDI9" s="42"/>
      <c r="BDJ9" s="42"/>
      <c r="BDK9" s="42"/>
      <c r="BDL9" s="42"/>
      <c r="BDM9" s="42"/>
      <c r="BDN9" s="42"/>
      <c r="BDO9" s="42"/>
      <c r="BDP9" s="42"/>
      <c r="BDQ9" s="42"/>
      <c r="BDR9" s="42"/>
      <c r="BDS9" s="42"/>
      <c r="BDT9" s="42"/>
      <c r="BDU9" s="42"/>
      <c r="BDV9" s="42"/>
      <c r="BDW9" s="42"/>
      <c r="BDX9" s="42"/>
      <c r="BDY9" s="42"/>
      <c r="BDZ9" s="42"/>
      <c r="BEA9" s="42"/>
      <c r="BEB9" s="42"/>
      <c r="BEC9" s="42"/>
      <c r="BED9" s="42"/>
      <c r="BEE9" s="42"/>
      <c r="BEF9" s="42"/>
      <c r="BEG9" s="42"/>
      <c r="BEH9" s="42"/>
      <c r="BEI9" s="42"/>
      <c r="BEJ9" s="42"/>
      <c r="BEK9" s="42"/>
      <c r="BEL9" s="42"/>
      <c r="BEM9" s="42"/>
      <c r="BEN9" s="42"/>
      <c r="BEO9" s="42"/>
      <c r="BEP9" s="42"/>
      <c r="BEQ9" s="42"/>
      <c r="BER9" s="42"/>
      <c r="BES9" s="42"/>
      <c r="BET9" s="42"/>
      <c r="BEU9" s="42"/>
      <c r="BEV9" s="42"/>
      <c r="BEW9" s="42"/>
      <c r="BEX9" s="42"/>
      <c r="BEY9" s="42"/>
      <c r="BEZ9" s="42"/>
      <c r="BFA9" s="42"/>
      <c r="BFB9" s="42"/>
      <c r="BFC9" s="42"/>
      <c r="BFD9" s="42"/>
      <c r="BFE9" s="42"/>
      <c r="BFF9" s="42"/>
      <c r="BFG9" s="42"/>
      <c r="BFH9" s="42"/>
      <c r="BFI9" s="42"/>
      <c r="BFJ9" s="42"/>
      <c r="BFK9" s="42"/>
      <c r="BFL9" s="42"/>
      <c r="BFM9" s="42"/>
      <c r="BFN9" s="42"/>
      <c r="BFO9" s="42"/>
      <c r="BFP9" s="42"/>
      <c r="BFQ9" s="42"/>
      <c r="BFR9" s="42"/>
      <c r="BFS9" s="42"/>
      <c r="BFT9" s="42"/>
      <c r="BFU9" s="42"/>
      <c r="BFV9" s="42"/>
      <c r="BFW9" s="42"/>
      <c r="BFX9" s="42"/>
      <c r="BFY9" s="42"/>
      <c r="BFZ9" s="42"/>
      <c r="BGA9" s="42"/>
      <c r="BGB9" s="42"/>
      <c r="BGC9" s="42"/>
      <c r="BGD9" s="42"/>
      <c r="BGE9" s="42"/>
      <c r="BGF9" s="42"/>
      <c r="BGG9" s="42"/>
      <c r="BGH9" s="42"/>
      <c r="BGI9" s="42"/>
      <c r="BGJ9" s="42"/>
      <c r="BGK9" s="42"/>
      <c r="BGL9" s="42"/>
      <c r="BGM9" s="42"/>
      <c r="BGN9" s="42"/>
      <c r="BGO9" s="42"/>
      <c r="BGP9" s="42"/>
      <c r="BGQ9" s="42"/>
      <c r="BGR9" s="42"/>
      <c r="BGS9" s="42"/>
      <c r="BGT9" s="42"/>
      <c r="BGU9" s="42"/>
      <c r="BGV9" s="42"/>
      <c r="BGW9" s="42"/>
      <c r="BGX9" s="42"/>
      <c r="BGY9" s="42"/>
      <c r="BGZ9" s="42"/>
      <c r="BHA9" s="42"/>
      <c r="BHB9" s="42"/>
      <c r="BHC9" s="42"/>
      <c r="BHD9" s="42"/>
      <c r="BHE9" s="42"/>
      <c r="BHF9" s="42"/>
      <c r="BHG9" s="42"/>
      <c r="BHH9" s="42"/>
      <c r="BHI9" s="42"/>
      <c r="BHJ9" s="42"/>
      <c r="BHK9" s="42"/>
      <c r="BHL9" s="42"/>
      <c r="BHM9" s="42"/>
      <c r="BHN9" s="42"/>
      <c r="BHO9" s="42"/>
      <c r="BHP9" s="42"/>
      <c r="BHQ9" s="42"/>
      <c r="BHR9" s="42"/>
      <c r="BHS9" s="42"/>
      <c r="BHT9" s="42"/>
      <c r="BHU9" s="42"/>
      <c r="BHV9" s="42"/>
      <c r="BHW9" s="42"/>
      <c r="BHX9" s="42"/>
      <c r="BHY9" s="42"/>
      <c r="BHZ9" s="42"/>
      <c r="BIA9" s="42"/>
      <c r="BIB9" s="42"/>
      <c r="BIC9" s="42"/>
      <c r="BID9" s="42"/>
      <c r="BIE9" s="42"/>
      <c r="BIF9" s="42"/>
      <c r="BIG9" s="42"/>
      <c r="BIH9" s="42"/>
      <c r="BII9" s="42"/>
      <c r="BIJ9" s="42"/>
      <c r="BIK9" s="42"/>
      <c r="BIL9" s="42"/>
      <c r="BIM9" s="42"/>
      <c r="BIN9" s="42"/>
      <c r="BIO9" s="42"/>
      <c r="BIP9" s="42"/>
      <c r="BIQ9" s="42"/>
      <c r="BIR9" s="42"/>
      <c r="BIS9" s="42"/>
      <c r="BIT9" s="42"/>
      <c r="BIU9" s="42"/>
      <c r="BIV9" s="42"/>
      <c r="BIW9" s="42"/>
      <c r="BIX9" s="42"/>
      <c r="BIY9" s="42"/>
      <c r="BIZ9" s="42"/>
      <c r="BJA9" s="42"/>
      <c r="BJB9" s="42"/>
      <c r="BJC9" s="42"/>
      <c r="BJD9" s="42"/>
      <c r="BJE9" s="42"/>
      <c r="BJF9" s="42"/>
      <c r="BJG9" s="42"/>
      <c r="BJH9" s="42"/>
      <c r="BJI9" s="42"/>
      <c r="BJJ9" s="42"/>
      <c r="BJK9" s="42"/>
      <c r="BJL9" s="42"/>
      <c r="BJM9" s="42"/>
      <c r="BJN9" s="42"/>
      <c r="BJO9" s="42"/>
      <c r="BJP9" s="42"/>
      <c r="BJQ9" s="42"/>
      <c r="BJR9" s="42"/>
      <c r="BJS9" s="42"/>
      <c r="BJT9" s="42"/>
      <c r="BJU9" s="42"/>
      <c r="BJV9" s="42"/>
      <c r="BJW9" s="42"/>
      <c r="BJX9" s="42"/>
      <c r="BJY9" s="42"/>
      <c r="BJZ9" s="42"/>
      <c r="BKA9" s="42"/>
      <c r="BKB9" s="42"/>
      <c r="BKC9" s="42"/>
      <c r="BKD9" s="42"/>
      <c r="BKE9" s="42"/>
      <c r="BKF9" s="42"/>
      <c r="BKG9" s="42"/>
      <c r="BKH9" s="42"/>
      <c r="BKI9" s="42"/>
      <c r="BKJ9" s="42"/>
      <c r="BKK9" s="42"/>
      <c r="BKL9" s="42"/>
      <c r="BKM9" s="42"/>
      <c r="BKN9" s="42"/>
      <c r="BKO9" s="42"/>
      <c r="BKP9" s="42"/>
      <c r="BKQ9" s="42"/>
      <c r="BKR9" s="42"/>
      <c r="BKS9" s="42"/>
      <c r="BKT9" s="42"/>
      <c r="BKU9" s="42"/>
      <c r="BKV9" s="42"/>
      <c r="BKW9" s="42"/>
      <c r="BKX9" s="42"/>
      <c r="BKY9" s="42"/>
      <c r="BKZ9" s="42"/>
      <c r="BLA9" s="42"/>
      <c r="BLB9" s="42"/>
      <c r="BLC9" s="42"/>
      <c r="BLD9" s="42"/>
      <c r="BLE9" s="42"/>
      <c r="BLF9" s="42"/>
      <c r="BLG9" s="42"/>
      <c r="BLH9" s="42"/>
      <c r="BLI9" s="42"/>
      <c r="BLJ9" s="42"/>
      <c r="BLK9" s="42"/>
      <c r="BLL9" s="42"/>
      <c r="BLM9" s="42"/>
      <c r="BLN9" s="42"/>
      <c r="BLO9" s="42"/>
      <c r="BLP9" s="42"/>
      <c r="BLQ9" s="42"/>
      <c r="BLR9" s="42"/>
      <c r="BLS9" s="42"/>
      <c r="BLT9" s="42"/>
      <c r="BLU9" s="42"/>
      <c r="BLV9" s="42"/>
      <c r="BLW9" s="42"/>
      <c r="BLX9" s="42"/>
      <c r="BLY9" s="42"/>
      <c r="BLZ9" s="42"/>
      <c r="BMA9" s="42"/>
      <c r="BMB9" s="42"/>
      <c r="BMC9" s="42"/>
      <c r="BMD9" s="42"/>
      <c r="BME9" s="42"/>
      <c r="BMF9" s="42"/>
      <c r="BMG9" s="42"/>
      <c r="BMH9" s="42"/>
      <c r="BMI9" s="42"/>
      <c r="BMJ9" s="42"/>
      <c r="BMK9" s="42"/>
      <c r="BML9" s="42"/>
      <c r="BMM9" s="42"/>
      <c r="BMN9" s="42"/>
      <c r="BMO9" s="42"/>
      <c r="BMP9" s="42"/>
      <c r="BMQ9" s="42"/>
      <c r="BMR9" s="42"/>
      <c r="BMS9" s="42"/>
      <c r="BMT9" s="42"/>
      <c r="BMU9" s="42"/>
      <c r="BMV9" s="42"/>
      <c r="BMW9" s="42"/>
      <c r="BMX9" s="42"/>
      <c r="BMY9" s="42"/>
      <c r="BMZ9" s="42"/>
      <c r="BNA9" s="42"/>
      <c r="BNB9" s="42"/>
      <c r="BNC9" s="42"/>
      <c r="BND9" s="42"/>
      <c r="BNE9" s="42"/>
      <c r="BNF9" s="42"/>
      <c r="BNG9" s="42"/>
      <c r="BNH9" s="42"/>
      <c r="BNI9" s="42"/>
      <c r="BNJ9" s="42"/>
      <c r="BNK9" s="42"/>
      <c r="BNL9" s="42"/>
      <c r="BNM9" s="42"/>
      <c r="BNN9" s="42"/>
      <c r="BNO9" s="42"/>
      <c r="BNP9" s="42"/>
      <c r="BNQ9" s="42"/>
      <c r="BNR9" s="42"/>
      <c r="BNS9" s="42"/>
      <c r="BNT9" s="42"/>
      <c r="BNU9" s="42"/>
      <c r="BNV9" s="42"/>
      <c r="BNW9" s="42"/>
      <c r="BNX9" s="42"/>
      <c r="BNY9" s="42"/>
      <c r="BNZ9" s="42"/>
      <c r="BOA9" s="42"/>
      <c r="BOB9" s="42"/>
      <c r="BOC9" s="42"/>
      <c r="BOD9" s="42"/>
      <c r="BOE9" s="42"/>
      <c r="BOF9" s="42"/>
      <c r="BOG9" s="42"/>
      <c r="BOH9" s="42"/>
      <c r="BOI9" s="42"/>
      <c r="BOJ9" s="42"/>
      <c r="BOK9" s="42"/>
      <c r="BOL9" s="42"/>
      <c r="BOM9" s="42"/>
      <c r="BON9" s="42"/>
      <c r="BOO9" s="42"/>
      <c r="BOP9" s="42"/>
      <c r="BOQ9" s="42"/>
      <c r="BOR9" s="42"/>
      <c r="BOS9" s="42"/>
      <c r="BOT9" s="42"/>
      <c r="BOU9" s="42"/>
      <c r="BOV9" s="42"/>
      <c r="BOW9" s="42"/>
      <c r="BOX9" s="42"/>
      <c r="BOY9" s="42"/>
      <c r="BOZ9" s="42"/>
      <c r="BPA9" s="42"/>
      <c r="BPB9" s="42"/>
      <c r="BPC9" s="42"/>
      <c r="BPD9" s="42"/>
      <c r="BPE9" s="42"/>
      <c r="BPF9" s="42"/>
      <c r="BPG9" s="42"/>
      <c r="BPH9" s="42"/>
      <c r="BPI9" s="42"/>
      <c r="BPJ9" s="42"/>
      <c r="BPK9" s="42"/>
      <c r="BPL9" s="42"/>
      <c r="BPM9" s="42"/>
      <c r="BPN9" s="42"/>
      <c r="BPO9" s="42"/>
      <c r="BPP9" s="42"/>
      <c r="BPQ9" s="42"/>
      <c r="BPR9" s="42"/>
      <c r="BPS9" s="42"/>
      <c r="BPT9" s="42"/>
      <c r="BPU9" s="42"/>
      <c r="BPV9" s="42"/>
      <c r="BPW9" s="42"/>
      <c r="BPX9" s="42"/>
      <c r="BPY9" s="42"/>
      <c r="BPZ9" s="42"/>
      <c r="BQA9" s="42"/>
      <c r="BQB9" s="42"/>
      <c r="BQC9" s="42"/>
      <c r="BQD9" s="42"/>
      <c r="BQE9" s="42"/>
      <c r="BQF9" s="42"/>
      <c r="BQG9" s="42"/>
      <c r="BQH9" s="42"/>
      <c r="BQI9" s="42"/>
      <c r="BQJ9" s="42"/>
      <c r="BQK9" s="42"/>
      <c r="BQL9" s="42"/>
      <c r="BQM9" s="42"/>
      <c r="BQN9" s="42"/>
      <c r="BQO9" s="42"/>
      <c r="BQP9" s="42"/>
      <c r="BQQ9" s="42"/>
      <c r="BQR9" s="42"/>
      <c r="BQS9" s="42"/>
      <c r="BQT9" s="42"/>
      <c r="BQU9" s="42"/>
      <c r="BQV9" s="42"/>
      <c r="BQW9" s="42"/>
      <c r="BQX9" s="42"/>
      <c r="BQY9" s="42"/>
      <c r="BQZ9" s="42"/>
      <c r="BRA9" s="42"/>
      <c r="BRB9" s="42"/>
      <c r="BRC9" s="42"/>
      <c r="BRD9" s="42"/>
      <c r="BRE9" s="42"/>
      <c r="BRF9" s="42"/>
      <c r="BRG9" s="42"/>
      <c r="BRH9" s="42"/>
      <c r="BRI9" s="42"/>
      <c r="BRJ9" s="42"/>
      <c r="BRK9" s="42"/>
      <c r="BRL9" s="42"/>
      <c r="BRM9" s="42"/>
      <c r="BRN9" s="42"/>
      <c r="BRO9" s="42"/>
      <c r="BRP9" s="42"/>
      <c r="BRQ9" s="42"/>
      <c r="BRR9" s="42"/>
      <c r="BRS9" s="42"/>
      <c r="BRT9" s="42"/>
      <c r="BRU9" s="42"/>
      <c r="BRV9" s="42"/>
      <c r="BRW9" s="42"/>
      <c r="BRX9" s="42"/>
      <c r="BRY9" s="42"/>
      <c r="BRZ9" s="42"/>
      <c r="BSA9" s="42"/>
      <c r="BSB9" s="42"/>
      <c r="BSC9" s="42"/>
      <c r="BSD9" s="42"/>
      <c r="BSE9" s="42"/>
      <c r="BSF9" s="42"/>
      <c r="BSG9" s="42"/>
      <c r="BSH9" s="42"/>
      <c r="BSI9" s="42"/>
      <c r="BSJ9" s="42"/>
      <c r="BSK9" s="42"/>
      <c r="BSL9" s="42"/>
      <c r="BSM9" s="42"/>
      <c r="BSN9" s="42"/>
      <c r="BSO9" s="42"/>
      <c r="BSP9" s="42"/>
      <c r="BSQ9" s="42"/>
      <c r="BSR9" s="42"/>
      <c r="BSS9" s="42"/>
      <c r="BST9" s="42"/>
      <c r="BSU9" s="42"/>
      <c r="BSV9" s="42"/>
      <c r="BSW9" s="42"/>
      <c r="BSX9" s="42"/>
      <c r="BSY9" s="42"/>
      <c r="BSZ9" s="42"/>
      <c r="BTA9" s="42"/>
      <c r="BTB9" s="42"/>
      <c r="BTC9" s="42"/>
      <c r="BTD9" s="42"/>
      <c r="BTE9" s="42"/>
      <c r="BTF9" s="42"/>
      <c r="BTG9" s="42"/>
      <c r="BTH9" s="42"/>
      <c r="BTI9" s="42"/>
      <c r="BTJ9" s="42"/>
      <c r="BTK9" s="42"/>
      <c r="BTL9" s="42"/>
      <c r="BTM9" s="42"/>
      <c r="BTN9" s="42"/>
      <c r="BTO9" s="42"/>
      <c r="BTP9" s="42"/>
      <c r="BTQ9" s="42"/>
      <c r="BTR9" s="42"/>
      <c r="BTS9" s="42"/>
      <c r="BTT9" s="42"/>
      <c r="BTU9" s="42"/>
      <c r="BTV9" s="42"/>
      <c r="BTW9" s="42"/>
      <c r="BTX9" s="42"/>
      <c r="BTY9" s="42"/>
      <c r="BTZ9" s="42"/>
      <c r="BUA9" s="42"/>
      <c r="BUB9" s="42"/>
      <c r="BUC9" s="42"/>
      <c r="BUD9" s="42"/>
      <c r="BUE9" s="42"/>
      <c r="BUF9" s="42"/>
      <c r="BUG9" s="42"/>
      <c r="BUH9" s="42"/>
      <c r="BUI9" s="42"/>
      <c r="BUJ9" s="42"/>
      <c r="BUK9" s="42"/>
      <c r="BUL9" s="42"/>
      <c r="BUM9" s="42"/>
      <c r="BUN9" s="42"/>
      <c r="BUO9" s="42"/>
      <c r="BUP9" s="42"/>
      <c r="BUQ9" s="42"/>
      <c r="BUR9" s="42"/>
      <c r="BUS9" s="42"/>
      <c r="BUT9" s="42"/>
      <c r="BUU9" s="42"/>
      <c r="BUV9" s="42"/>
      <c r="BUW9" s="42"/>
      <c r="BUX9" s="42"/>
      <c r="BUY9" s="42"/>
      <c r="BUZ9" s="42"/>
      <c r="BVA9" s="42"/>
      <c r="BVB9" s="42"/>
      <c r="BVC9" s="42"/>
      <c r="BVD9" s="42"/>
      <c r="BVE9" s="42"/>
      <c r="BVF9" s="42"/>
      <c r="BVG9" s="42"/>
      <c r="BVH9" s="42"/>
      <c r="BVI9" s="42"/>
      <c r="BVJ9" s="42"/>
      <c r="BVK9" s="42"/>
      <c r="BVL9" s="42"/>
      <c r="BVM9" s="42"/>
      <c r="BVN9" s="42"/>
      <c r="BVO9" s="42"/>
      <c r="BVP9" s="42"/>
      <c r="BVQ9" s="42"/>
      <c r="BVR9" s="42"/>
      <c r="BVS9" s="42"/>
      <c r="BVT9" s="42"/>
      <c r="BVU9" s="42"/>
      <c r="BVV9" s="42"/>
      <c r="BVW9" s="42"/>
      <c r="BVX9" s="42"/>
      <c r="BVY9" s="42"/>
      <c r="BVZ9" s="42"/>
      <c r="BWA9" s="42"/>
      <c r="BWB9" s="42"/>
      <c r="BWC9" s="42"/>
      <c r="BWD9" s="42"/>
      <c r="BWE9" s="42"/>
      <c r="BWF9" s="42"/>
      <c r="BWG9" s="42"/>
      <c r="BWH9" s="42"/>
      <c r="BWI9" s="42"/>
      <c r="BWJ9" s="42"/>
      <c r="BWK9" s="42"/>
      <c r="BWL9" s="42"/>
      <c r="BWM9" s="42"/>
      <c r="BWN9" s="42"/>
      <c r="BWO9" s="42"/>
      <c r="BWP9" s="42"/>
      <c r="BWQ9" s="42"/>
      <c r="BWR9" s="42"/>
      <c r="BWS9" s="42"/>
      <c r="BWT9" s="42"/>
      <c r="BWU9" s="42"/>
      <c r="BWV9" s="42"/>
      <c r="BWW9" s="42"/>
      <c r="BWX9" s="42"/>
      <c r="BWY9" s="42"/>
      <c r="BWZ9" s="42"/>
      <c r="BXA9" s="42"/>
      <c r="BXB9" s="42"/>
      <c r="BXC9" s="42"/>
      <c r="BXD9" s="42"/>
      <c r="BXE9" s="42"/>
      <c r="BXF9" s="42"/>
      <c r="BXG9" s="42"/>
      <c r="BXH9" s="42"/>
      <c r="BXI9" s="42"/>
      <c r="BXJ9" s="42"/>
      <c r="BXK9" s="42"/>
      <c r="BXL9" s="42"/>
      <c r="BXM9" s="42"/>
      <c r="BXN9" s="42"/>
      <c r="BXO9" s="42"/>
      <c r="BXP9" s="42"/>
      <c r="BXQ9" s="42"/>
      <c r="BXR9" s="42"/>
      <c r="BXS9" s="42"/>
      <c r="BXT9" s="42"/>
      <c r="BXU9" s="42"/>
      <c r="BXV9" s="42"/>
      <c r="BXW9" s="42"/>
      <c r="BXX9" s="42"/>
      <c r="BXY9" s="42"/>
      <c r="BXZ9" s="42"/>
      <c r="BYA9" s="42"/>
      <c r="BYB9" s="42"/>
      <c r="BYC9" s="42"/>
      <c r="BYD9" s="42"/>
      <c r="BYE9" s="42"/>
      <c r="BYF9" s="42"/>
      <c r="BYG9" s="42"/>
      <c r="BYH9" s="42"/>
      <c r="BYI9" s="42"/>
      <c r="BYJ9" s="42"/>
      <c r="BYK9" s="42"/>
      <c r="BYL9" s="42"/>
      <c r="BYM9" s="42"/>
      <c r="BYN9" s="42"/>
      <c r="BYO9" s="42"/>
      <c r="BYP9" s="42"/>
      <c r="BYQ9" s="42"/>
      <c r="BYR9" s="42"/>
      <c r="BYS9" s="42"/>
      <c r="BYT9" s="42"/>
      <c r="BYU9" s="42"/>
      <c r="BYV9" s="42"/>
      <c r="BYW9" s="42"/>
      <c r="BYX9" s="42"/>
      <c r="BYY9" s="42"/>
      <c r="BYZ9" s="42"/>
      <c r="BZA9" s="42"/>
      <c r="BZB9" s="42"/>
      <c r="BZC9" s="42"/>
      <c r="BZD9" s="42"/>
      <c r="BZE9" s="42"/>
      <c r="BZF9" s="42"/>
      <c r="BZG9" s="42"/>
      <c r="BZH9" s="42"/>
      <c r="BZI9" s="42"/>
      <c r="BZJ9" s="42"/>
      <c r="BZK9" s="42"/>
      <c r="BZL9" s="42"/>
      <c r="BZM9" s="42"/>
      <c r="BZN9" s="42"/>
      <c r="BZO9" s="42"/>
      <c r="BZP9" s="42"/>
      <c r="BZQ9" s="42"/>
      <c r="BZR9" s="42"/>
      <c r="BZS9" s="42"/>
      <c r="BZT9" s="42"/>
      <c r="BZU9" s="42"/>
      <c r="BZV9" s="42"/>
      <c r="BZW9" s="42"/>
      <c r="BZX9" s="42"/>
      <c r="BZY9" s="42"/>
      <c r="BZZ9" s="42"/>
      <c r="CAA9" s="42"/>
      <c r="CAB9" s="42"/>
      <c r="CAC9" s="42"/>
      <c r="CAD9" s="42"/>
      <c r="CAE9" s="42"/>
      <c r="CAF9" s="42"/>
      <c r="CAG9" s="42"/>
      <c r="CAH9" s="42"/>
      <c r="CAI9" s="42"/>
      <c r="CAJ9" s="42"/>
      <c r="CAK9" s="42"/>
      <c r="CAL9" s="42"/>
      <c r="CAM9" s="42"/>
      <c r="CAN9" s="42"/>
      <c r="CAO9" s="42"/>
      <c r="CAP9" s="42"/>
      <c r="CAQ9" s="42"/>
      <c r="CAR9" s="42"/>
      <c r="CAS9" s="42"/>
      <c r="CAT9" s="42"/>
      <c r="CAU9" s="42"/>
      <c r="CAV9" s="42"/>
      <c r="CAW9" s="42"/>
      <c r="CAX9" s="42"/>
      <c r="CAY9" s="42"/>
      <c r="CAZ9" s="42"/>
      <c r="CBA9" s="42"/>
      <c r="CBB9" s="42"/>
      <c r="CBC9" s="42"/>
      <c r="CBD9" s="42"/>
      <c r="CBE9" s="42"/>
      <c r="CBF9" s="42"/>
      <c r="CBG9" s="42"/>
      <c r="CBH9" s="42"/>
      <c r="CBI9" s="42"/>
      <c r="CBJ9" s="42"/>
      <c r="CBK9" s="42"/>
      <c r="CBL9" s="42"/>
      <c r="CBM9" s="42"/>
      <c r="CBN9" s="42"/>
      <c r="CBO9" s="42"/>
      <c r="CBP9" s="42"/>
      <c r="CBQ9" s="42"/>
      <c r="CBR9" s="42"/>
      <c r="CBS9" s="42"/>
      <c r="CBT9" s="42"/>
      <c r="CBU9" s="42"/>
      <c r="CBV9" s="42"/>
      <c r="CBW9" s="42"/>
      <c r="CBX9" s="42"/>
      <c r="CBY9" s="42"/>
      <c r="CBZ9" s="42"/>
      <c r="CCA9" s="42"/>
      <c r="CCB9" s="42"/>
      <c r="CCC9" s="42"/>
      <c r="CCD9" s="42"/>
      <c r="CCE9" s="42"/>
      <c r="CCF9" s="42"/>
      <c r="CCG9" s="42"/>
      <c r="CCH9" s="42"/>
      <c r="CCI9" s="42"/>
      <c r="CCJ9" s="42"/>
      <c r="CCK9" s="42"/>
      <c r="CCL9" s="42"/>
      <c r="CCM9" s="42"/>
      <c r="CCN9" s="42"/>
      <c r="CCO9" s="42"/>
      <c r="CCP9" s="42"/>
      <c r="CCQ9" s="42"/>
      <c r="CCR9" s="42"/>
      <c r="CCS9" s="42"/>
      <c r="CCT9" s="42"/>
      <c r="CCU9" s="42"/>
      <c r="CCV9" s="42"/>
      <c r="CCW9" s="42"/>
      <c r="CCX9" s="42"/>
      <c r="CCY9" s="42"/>
      <c r="CCZ9" s="42"/>
      <c r="CDA9" s="42"/>
      <c r="CDB9" s="42"/>
      <c r="CDC9" s="42"/>
      <c r="CDD9" s="42"/>
      <c r="CDE9" s="42"/>
      <c r="CDF9" s="42"/>
      <c r="CDG9" s="42"/>
      <c r="CDH9" s="42"/>
      <c r="CDI9" s="42"/>
      <c r="CDJ9" s="42"/>
      <c r="CDK9" s="42"/>
      <c r="CDL9" s="42"/>
      <c r="CDM9" s="42"/>
      <c r="CDN9" s="42"/>
      <c r="CDO9" s="42"/>
      <c r="CDP9" s="42"/>
      <c r="CDQ9" s="42"/>
      <c r="CDR9" s="42"/>
      <c r="CDS9" s="42"/>
      <c r="CDT9" s="42"/>
      <c r="CDU9" s="42"/>
      <c r="CDV9" s="42"/>
      <c r="CDW9" s="42"/>
      <c r="CDX9" s="42"/>
      <c r="CDY9" s="42"/>
      <c r="CDZ9" s="42"/>
      <c r="CEA9" s="42"/>
      <c r="CEB9" s="42"/>
      <c r="CEC9" s="42"/>
      <c r="CED9" s="42"/>
      <c r="CEE9" s="42"/>
      <c r="CEF9" s="42"/>
      <c r="CEG9" s="42"/>
      <c r="CEH9" s="42"/>
      <c r="CEI9" s="42"/>
      <c r="CEJ9" s="42"/>
      <c r="CEK9" s="42"/>
      <c r="CEL9" s="42"/>
      <c r="CEM9" s="42"/>
      <c r="CEN9" s="42"/>
      <c r="CEO9" s="42"/>
      <c r="CEP9" s="42"/>
      <c r="CEQ9" s="42"/>
      <c r="CER9" s="42"/>
      <c r="CES9" s="42"/>
      <c r="CET9" s="42"/>
      <c r="CEU9" s="42"/>
      <c r="CEV9" s="42"/>
      <c r="CEW9" s="42"/>
      <c r="CEX9" s="42"/>
      <c r="CEY9" s="42"/>
      <c r="CEZ9" s="42"/>
      <c r="CFA9" s="42"/>
      <c r="CFB9" s="42"/>
      <c r="CFC9" s="42"/>
      <c r="CFD9" s="42"/>
      <c r="CFE9" s="42"/>
      <c r="CFF9" s="42"/>
      <c r="CFG9" s="42"/>
      <c r="CFH9" s="42"/>
      <c r="CFI9" s="42"/>
      <c r="CFJ9" s="42"/>
      <c r="CFK9" s="42"/>
      <c r="CFL9" s="42"/>
      <c r="CFM9" s="42"/>
      <c r="CFN9" s="42"/>
      <c r="CFO9" s="42"/>
      <c r="CFP9" s="42"/>
      <c r="CFQ9" s="42"/>
      <c r="CFR9" s="42"/>
      <c r="CFS9" s="42"/>
      <c r="CFT9" s="42"/>
      <c r="CFU9" s="42"/>
      <c r="CFV9" s="42"/>
      <c r="CFW9" s="42"/>
      <c r="CFX9" s="42"/>
      <c r="CFY9" s="42"/>
      <c r="CFZ9" s="42"/>
      <c r="CGA9" s="42"/>
      <c r="CGB9" s="42"/>
      <c r="CGC9" s="42"/>
      <c r="CGD9" s="42"/>
      <c r="CGE9" s="42"/>
      <c r="CGF9" s="42"/>
      <c r="CGG9" s="42"/>
      <c r="CGH9" s="42"/>
      <c r="CGI9" s="42"/>
      <c r="CGJ9" s="42"/>
      <c r="CGK9" s="42"/>
      <c r="CGL9" s="42"/>
      <c r="CGM9" s="42"/>
      <c r="CGN9" s="42"/>
      <c r="CGO9" s="42"/>
      <c r="CGP9" s="42"/>
      <c r="CGQ9" s="42"/>
      <c r="CGR9" s="42"/>
      <c r="CGS9" s="42"/>
      <c r="CGT9" s="42"/>
      <c r="CGU9" s="42"/>
      <c r="CGV9" s="42"/>
      <c r="CGW9" s="42"/>
      <c r="CGX9" s="42"/>
      <c r="CGY9" s="42"/>
      <c r="CGZ9" s="42"/>
      <c r="CHA9" s="42"/>
      <c r="CHB9" s="42"/>
      <c r="CHC9" s="42"/>
      <c r="CHD9" s="42"/>
      <c r="CHE9" s="42"/>
      <c r="CHF9" s="42"/>
      <c r="CHG9" s="42"/>
      <c r="CHH9" s="42"/>
      <c r="CHI9" s="42"/>
      <c r="CHJ9" s="42"/>
      <c r="CHK9" s="42"/>
      <c r="CHL9" s="42"/>
      <c r="CHM9" s="42"/>
      <c r="CHN9" s="42"/>
      <c r="CHO9" s="42"/>
      <c r="CHP9" s="42"/>
      <c r="CHQ9" s="42"/>
      <c r="CHR9" s="42"/>
      <c r="CHS9" s="42"/>
      <c r="CHT9" s="42"/>
      <c r="CHU9" s="42"/>
      <c r="CHV9" s="42"/>
      <c r="CHW9" s="42"/>
      <c r="CHX9" s="42"/>
      <c r="CHY9" s="42"/>
      <c r="CHZ9" s="42"/>
      <c r="CIA9" s="42"/>
      <c r="CIB9" s="42"/>
      <c r="CIC9" s="42"/>
      <c r="CID9" s="42"/>
      <c r="CIE9" s="42"/>
      <c r="CIF9" s="42"/>
      <c r="CIG9" s="42"/>
      <c r="CIH9" s="42"/>
      <c r="CII9" s="42"/>
      <c r="CIJ9" s="42"/>
      <c r="CIK9" s="42"/>
      <c r="CIL9" s="42"/>
      <c r="CIM9" s="42"/>
      <c r="CIN9" s="42"/>
      <c r="CIO9" s="42"/>
      <c r="CIP9" s="42"/>
      <c r="CIQ9" s="42"/>
      <c r="CIR9" s="42"/>
      <c r="CIS9" s="42"/>
      <c r="CIT9" s="42"/>
      <c r="CIU9" s="42"/>
      <c r="CIV9" s="42"/>
      <c r="CIW9" s="42"/>
      <c r="CIX9" s="42"/>
      <c r="CIY9" s="42"/>
      <c r="CIZ9" s="42"/>
      <c r="CJA9" s="42"/>
      <c r="CJB9" s="42"/>
      <c r="CJC9" s="42"/>
      <c r="CJD9" s="42"/>
      <c r="CJE9" s="42"/>
      <c r="CJF9" s="42"/>
      <c r="CJG9" s="42"/>
      <c r="CJH9" s="42"/>
      <c r="CJI9" s="42"/>
      <c r="CJJ9" s="42"/>
      <c r="CJK9" s="42"/>
      <c r="CJL9" s="42"/>
      <c r="CJM9" s="42"/>
      <c r="CJN9" s="42"/>
      <c r="CJO9" s="42"/>
      <c r="CJP9" s="42"/>
      <c r="CJQ9" s="42"/>
      <c r="CJR9" s="42"/>
      <c r="CJS9" s="42"/>
      <c r="CJT9" s="42"/>
      <c r="CJU9" s="42"/>
      <c r="CJV9" s="42"/>
      <c r="CJW9" s="42"/>
      <c r="CJX9" s="42"/>
      <c r="CJY9" s="42"/>
      <c r="CJZ9" s="42"/>
      <c r="CKA9" s="42"/>
      <c r="CKB9" s="42"/>
      <c r="CKC9" s="42"/>
      <c r="CKD9" s="42"/>
      <c r="CKE9" s="42"/>
      <c r="CKF9" s="42"/>
      <c r="CKG9" s="42"/>
      <c r="CKH9" s="42"/>
      <c r="CKI9" s="42"/>
      <c r="CKJ9" s="42"/>
      <c r="CKK9" s="42"/>
      <c r="CKL9" s="42"/>
      <c r="CKM9" s="42"/>
      <c r="CKN9" s="42"/>
      <c r="CKO9" s="42"/>
      <c r="CKP9" s="42"/>
      <c r="CKQ9" s="42"/>
      <c r="CKR9" s="42"/>
      <c r="CKS9" s="42"/>
      <c r="CKT9" s="42"/>
      <c r="CKU9" s="42"/>
      <c r="CKV9" s="42"/>
      <c r="CKW9" s="42"/>
      <c r="CKX9" s="42"/>
      <c r="CKY9" s="42"/>
      <c r="CKZ9" s="42"/>
      <c r="CLA9" s="42"/>
      <c r="CLB9" s="42"/>
      <c r="CLC9" s="42"/>
      <c r="CLD9" s="42"/>
      <c r="CLE9" s="42"/>
      <c r="CLF9" s="42"/>
      <c r="CLG9" s="42"/>
      <c r="CLH9" s="42"/>
      <c r="CLI9" s="42"/>
      <c r="CLJ9" s="42"/>
      <c r="CLK9" s="42"/>
      <c r="CLL9" s="42"/>
      <c r="CLM9" s="42"/>
      <c r="CLN9" s="42"/>
      <c r="CLO9" s="42"/>
      <c r="CLP9" s="42"/>
      <c r="CLQ9" s="42"/>
      <c r="CLR9" s="42"/>
      <c r="CLS9" s="42"/>
      <c r="CLT9" s="42"/>
      <c r="CLU9" s="42"/>
      <c r="CLV9" s="42"/>
      <c r="CLW9" s="42"/>
      <c r="CLX9" s="42"/>
      <c r="CLY9" s="42"/>
      <c r="CLZ9" s="42"/>
      <c r="CMA9" s="42"/>
      <c r="CMB9" s="42"/>
      <c r="CMC9" s="42"/>
      <c r="CMD9" s="42"/>
      <c r="CME9" s="42"/>
      <c r="CMF9" s="42"/>
      <c r="CMG9" s="42"/>
      <c r="CMH9" s="42"/>
      <c r="CMI9" s="42"/>
      <c r="CMJ9" s="42"/>
      <c r="CMK9" s="42"/>
      <c r="CML9" s="42"/>
      <c r="CMM9" s="42"/>
      <c r="CMN9" s="42"/>
      <c r="CMO9" s="42"/>
      <c r="CMP9" s="42"/>
      <c r="CMQ9" s="42"/>
      <c r="CMR9" s="42"/>
      <c r="CMS9" s="42"/>
      <c r="CMT9" s="42"/>
      <c r="CMU9" s="42"/>
      <c r="CMV9" s="42"/>
      <c r="CMW9" s="42"/>
      <c r="CMX9" s="42"/>
      <c r="CMY9" s="42"/>
      <c r="CMZ9" s="42"/>
      <c r="CNA9" s="42"/>
      <c r="CNB9" s="42"/>
      <c r="CNC9" s="42"/>
      <c r="CND9" s="42"/>
      <c r="CNE9" s="42"/>
      <c r="CNF9" s="42"/>
      <c r="CNG9" s="42"/>
      <c r="CNH9" s="42"/>
      <c r="CNI9" s="42"/>
      <c r="CNJ9" s="42"/>
      <c r="CNK9" s="42"/>
      <c r="CNL9" s="42"/>
      <c r="CNM9" s="42"/>
      <c r="CNN9" s="42"/>
      <c r="CNO9" s="42"/>
      <c r="CNP9" s="42"/>
      <c r="CNQ9" s="42"/>
      <c r="CNR9" s="42"/>
      <c r="CNS9" s="42"/>
      <c r="CNT9" s="42"/>
      <c r="CNU9" s="42"/>
      <c r="CNV9" s="42"/>
      <c r="CNW9" s="42"/>
      <c r="CNX9" s="42"/>
      <c r="CNY9" s="42"/>
      <c r="CNZ9" s="42"/>
      <c r="COA9" s="42"/>
      <c r="COB9" s="42"/>
      <c r="COC9" s="42"/>
      <c r="COD9" s="42"/>
      <c r="COE9" s="42"/>
      <c r="COF9" s="42"/>
      <c r="COG9" s="42"/>
      <c r="COH9" s="42"/>
      <c r="COI9" s="42"/>
      <c r="COJ9" s="42"/>
      <c r="COK9" s="42"/>
      <c r="COL9" s="42"/>
      <c r="COM9" s="42"/>
      <c r="CON9" s="42"/>
      <c r="COO9" s="42"/>
      <c r="COP9" s="42"/>
      <c r="COQ9" s="42"/>
      <c r="COR9" s="42"/>
      <c r="COS9" s="42"/>
      <c r="COT9" s="42"/>
      <c r="COU9" s="42"/>
      <c r="COV9" s="42"/>
      <c r="COW9" s="42"/>
      <c r="COX9" s="42"/>
      <c r="COY9" s="42"/>
      <c r="COZ9" s="42"/>
      <c r="CPA9" s="42"/>
      <c r="CPB9" s="42"/>
      <c r="CPC9" s="42"/>
      <c r="CPD9" s="42"/>
      <c r="CPE9" s="42"/>
      <c r="CPF9" s="42"/>
      <c r="CPG9" s="42"/>
      <c r="CPH9" s="42"/>
      <c r="CPI9" s="42"/>
      <c r="CPJ9" s="42"/>
      <c r="CPK9" s="42"/>
      <c r="CPL9" s="42"/>
      <c r="CPM9" s="42"/>
      <c r="CPN9" s="42"/>
      <c r="CPO9" s="42"/>
      <c r="CPP9" s="42"/>
      <c r="CPQ9" s="42"/>
      <c r="CPR9" s="42"/>
      <c r="CPS9" s="42"/>
      <c r="CPT9" s="42"/>
      <c r="CPU9" s="42"/>
      <c r="CPV9" s="42"/>
      <c r="CPW9" s="42"/>
      <c r="CPX9" s="42"/>
      <c r="CPY9" s="42"/>
      <c r="CPZ9" s="42"/>
      <c r="CQA9" s="42"/>
      <c r="CQB9" s="42"/>
      <c r="CQC9" s="42"/>
      <c r="CQD9" s="42"/>
      <c r="CQE9" s="42"/>
      <c r="CQF9" s="42"/>
      <c r="CQG9" s="42"/>
      <c r="CQH9" s="42"/>
      <c r="CQI9" s="42"/>
      <c r="CQJ9" s="42"/>
      <c r="CQK9" s="42"/>
      <c r="CQL9" s="42"/>
      <c r="CQM9" s="42"/>
      <c r="CQN9" s="42"/>
      <c r="CQO9" s="42"/>
      <c r="CQP9" s="42"/>
      <c r="CQQ9" s="42"/>
      <c r="CQR9" s="42"/>
      <c r="CQS9" s="42"/>
      <c r="CQT9" s="42"/>
      <c r="CQU9" s="42"/>
      <c r="CQV9" s="42"/>
      <c r="CQW9" s="42"/>
      <c r="CQX9" s="42"/>
      <c r="CQY9" s="42"/>
      <c r="CQZ9" s="42"/>
      <c r="CRA9" s="42"/>
      <c r="CRB9" s="42"/>
      <c r="CRC9" s="42"/>
      <c r="CRD9" s="42"/>
      <c r="CRE9" s="42"/>
      <c r="CRF9" s="42"/>
      <c r="CRG9" s="42"/>
      <c r="CRH9" s="42"/>
      <c r="CRI9" s="42"/>
      <c r="CRJ9" s="42"/>
      <c r="CRK9" s="42"/>
      <c r="CRL9" s="42"/>
      <c r="CRM9" s="42"/>
      <c r="CRN9" s="42"/>
      <c r="CRO9" s="42"/>
      <c r="CRP9" s="42"/>
      <c r="CRQ9" s="42"/>
      <c r="CRR9" s="42"/>
      <c r="CRS9" s="42"/>
      <c r="CRT9" s="42"/>
      <c r="CRU9" s="42"/>
      <c r="CRV9" s="42"/>
      <c r="CRW9" s="42"/>
      <c r="CRX9" s="42"/>
      <c r="CRY9" s="42"/>
      <c r="CRZ9" s="42"/>
      <c r="CSA9" s="42"/>
      <c r="CSB9" s="42"/>
      <c r="CSC9" s="42"/>
      <c r="CSD9" s="42"/>
      <c r="CSE9" s="42"/>
      <c r="CSF9" s="42"/>
      <c r="CSG9" s="42"/>
      <c r="CSH9" s="42"/>
      <c r="CSI9" s="42"/>
      <c r="CSJ9" s="42"/>
      <c r="CSK9" s="42"/>
      <c r="CSL9" s="42"/>
      <c r="CSM9" s="42"/>
      <c r="CSN9" s="42"/>
      <c r="CSO9" s="42"/>
      <c r="CSP9" s="42"/>
      <c r="CSQ9" s="42"/>
      <c r="CSR9" s="42"/>
      <c r="CSS9" s="42"/>
      <c r="CST9" s="42"/>
      <c r="CSU9" s="42"/>
      <c r="CSV9" s="42"/>
      <c r="CSW9" s="42"/>
      <c r="CSX9" s="42"/>
      <c r="CSY9" s="42"/>
      <c r="CSZ9" s="42"/>
      <c r="CTA9" s="42"/>
      <c r="CTB9" s="42"/>
      <c r="CTC9" s="42"/>
      <c r="CTD9" s="42"/>
      <c r="CTE9" s="42"/>
      <c r="CTF9" s="42"/>
      <c r="CTG9" s="42"/>
      <c r="CTH9" s="42"/>
      <c r="CTI9" s="42"/>
      <c r="CTJ9" s="42"/>
      <c r="CTK9" s="42"/>
      <c r="CTL9" s="42"/>
      <c r="CTM9" s="42"/>
      <c r="CTN9" s="42"/>
      <c r="CTO9" s="42"/>
      <c r="CTP9" s="42"/>
      <c r="CTQ9" s="42"/>
      <c r="CTR9" s="42"/>
      <c r="CTS9" s="42"/>
      <c r="CTT9" s="42"/>
      <c r="CTU9" s="42"/>
      <c r="CTV9" s="42"/>
      <c r="CTW9" s="42"/>
      <c r="CTX9" s="42"/>
      <c r="CTY9" s="42"/>
      <c r="CTZ9" s="42"/>
      <c r="CUA9" s="42"/>
      <c r="CUB9" s="42"/>
      <c r="CUC9" s="42"/>
      <c r="CUD9" s="42"/>
      <c r="CUE9" s="42"/>
      <c r="CUF9" s="42"/>
      <c r="CUG9" s="42"/>
      <c r="CUH9" s="42"/>
      <c r="CUI9" s="42"/>
      <c r="CUJ9" s="42"/>
      <c r="CUK9" s="42"/>
      <c r="CUL9" s="42"/>
      <c r="CUM9" s="42"/>
      <c r="CUN9" s="42"/>
      <c r="CUO9" s="42"/>
      <c r="CUP9" s="42"/>
      <c r="CUQ9" s="42"/>
      <c r="CUR9" s="42"/>
      <c r="CUS9" s="42"/>
      <c r="CUT9" s="42"/>
      <c r="CUU9" s="42"/>
      <c r="CUV9" s="42"/>
      <c r="CUW9" s="42"/>
      <c r="CUX9" s="42"/>
      <c r="CUY9" s="42"/>
      <c r="CUZ9" s="42"/>
      <c r="CVA9" s="42"/>
      <c r="CVB9" s="42"/>
      <c r="CVC9" s="42"/>
      <c r="CVD9" s="42"/>
      <c r="CVE9" s="42"/>
      <c r="CVF9" s="42"/>
      <c r="CVG9" s="42"/>
      <c r="CVH9" s="42"/>
      <c r="CVI9" s="42"/>
      <c r="CVJ9" s="42"/>
      <c r="CVK9" s="42"/>
      <c r="CVL9" s="42"/>
      <c r="CVM9" s="42"/>
      <c r="CVN9" s="42"/>
      <c r="CVO9" s="42"/>
      <c r="CVP9" s="42"/>
      <c r="CVQ9" s="42"/>
      <c r="CVR9" s="42"/>
      <c r="CVS9" s="42"/>
      <c r="CVT9" s="42"/>
      <c r="CVU9" s="42"/>
      <c r="CVV9" s="42"/>
      <c r="CVW9" s="42"/>
      <c r="CVX9" s="42"/>
      <c r="CVY9" s="42"/>
      <c r="CVZ9" s="42"/>
      <c r="CWA9" s="42"/>
      <c r="CWB9" s="42"/>
      <c r="CWC9" s="42"/>
      <c r="CWD9" s="42"/>
      <c r="CWE9" s="42"/>
      <c r="CWF9" s="42"/>
      <c r="CWG9" s="42"/>
      <c r="CWH9" s="42"/>
      <c r="CWI9" s="42"/>
      <c r="CWJ9" s="42"/>
      <c r="CWK9" s="42"/>
      <c r="CWL9" s="42"/>
      <c r="CWM9" s="42"/>
      <c r="CWN9" s="42"/>
      <c r="CWO9" s="42"/>
      <c r="CWP9" s="42"/>
      <c r="CWQ9" s="42"/>
      <c r="CWR9" s="42"/>
      <c r="CWS9" s="42"/>
      <c r="CWT9" s="42"/>
      <c r="CWU9" s="42"/>
      <c r="CWV9" s="42"/>
      <c r="CWW9" s="42"/>
      <c r="CWX9" s="42"/>
      <c r="CWY9" s="42"/>
      <c r="CWZ9" s="42"/>
      <c r="CXA9" s="42"/>
      <c r="CXB9" s="42"/>
      <c r="CXC9" s="42"/>
      <c r="CXD9" s="42"/>
      <c r="CXE9" s="42"/>
      <c r="CXF9" s="42"/>
      <c r="CXG9" s="42"/>
      <c r="CXH9" s="42"/>
      <c r="CXI9" s="42"/>
      <c r="CXJ9" s="42"/>
      <c r="CXK9" s="42"/>
      <c r="CXL9" s="42"/>
      <c r="CXM9" s="42"/>
      <c r="CXN9" s="42"/>
      <c r="CXO9" s="42"/>
      <c r="CXP9" s="42"/>
      <c r="CXQ9" s="42"/>
      <c r="CXR9" s="42"/>
      <c r="CXS9" s="42"/>
      <c r="CXT9" s="42"/>
      <c r="CXU9" s="42"/>
      <c r="CXV9" s="42"/>
      <c r="CXW9" s="42"/>
      <c r="CXX9" s="42"/>
      <c r="CXY9" s="42"/>
      <c r="CXZ9" s="42"/>
      <c r="CYA9" s="42"/>
      <c r="CYB9" s="42"/>
      <c r="CYC9" s="42"/>
      <c r="CYD9" s="42"/>
      <c r="CYE9" s="42"/>
      <c r="CYF9" s="42"/>
      <c r="CYG9" s="42"/>
      <c r="CYH9" s="42"/>
      <c r="CYI9" s="42"/>
      <c r="CYJ9" s="42"/>
      <c r="CYK9" s="42"/>
      <c r="CYL9" s="42"/>
      <c r="CYM9" s="42"/>
      <c r="CYN9" s="42"/>
      <c r="CYO9" s="42"/>
      <c r="CYP9" s="42"/>
      <c r="CYQ9" s="42"/>
      <c r="CYR9" s="42"/>
      <c r="CYS9" s="42"/>
      <c r="CYT9" s="42"/>
      <c r="CYU9" s="42"/>
      <c r="CYV9" s="42"/>
      <c r="CYW9" s="42"/>
      <c r="CYX9" s="42"/>
      <c r="CYY9" s="42"/>
      <c r="CYZ9" s="42"/>
      <c r="CZA9" s="42"/>
      <c r="CZB9" s="42"/>
      <c r="CZC9" s="42"/>
      <c r="CZD9" s="42"/>
      <c r="CZE9" s="42"/>
      <c r="CZF9" s="42"/>
      <c r="CZG9" s="42"/>
      <c r="CZH9" s="42"/>
      <c r="CZI9" s="42"/>
      <c r="CZJ9" s="42"/>
      <c r="CZK9" s="42"/>
      <c r="CZL9" s="42"/>
      <c r="CZM9" s="42"/>
      <c r="CZN9" s="42"/>
      <c r="CZO9" s="42"/>
      <c r="CZP9" s="42"/>
      <c r="CZQ9" s="42"/>
      <c r="CZR9" s="42"/>
      <c r="CZS9" s="42"/>
      <c r="CZT9" s="42"/>
      <c r="CZU9" s="42"/>
      <c r="CZV9" s="42"/>
      <c r="CZW9" s="42"/>
      <c r="CZX9" s="42"/>
      <c r="CZY9" s="42"/>
      <c r="CZZ9" s="42"/>
      <c r="DAA9" s="42"/>
      <c r="DAB9" s="42"/>
      <c r="DAC9" s="42"/>
      <c r="DAD9" s="42"/>
      <c r="DAE9" s="42"/>
      <c r="DAF9" s="42"/>
      <c r="DAG9" s="42"/>
      <c r="DAH9" s="42"/>
      <c r="DAI9" s="42"/>
      <c r="DAJ9" s="42"/>
      <c r="DAK9" s="42"/>
      <c r="DAL9" s="42"/>
      <c r="DAM9" s="42"/>
      <c r="DAN9" s="42"/>
      <c r="DAO9" s="42"/>
      <c r="DAP9" s="42"/>
      <c r="DAQ9" s="42"/>
      <c r="DAR9" s="42"/>
      <c r="DAS9" s="42"/>
      <c r="DAT9" s="42"/>
      <c r="DAU9" s="42"/>
      <c r="DAV9" s="42"/>
      <c r="DAW9" s="42"/>
      <c r="DAX9" s="42"/>
      <c r="DAY9" s="42"/>
      <c r="DAZ9" s="42"/>
      <c r="DBA9" s="42"/>
      <c r="DBB9" s="42"/>
      <c r="DBC9" s="42"/>
      <c r="DBD9" s="42"/>
      <c r="DBE9" s="42"/>
      <c r="DBF9" s="42"/>
      <c r="DBG9" s="42"/>
      <c r="DBH9" s="42"/>
      <c r="DBI9" s="42"/>
      <c r="DBJ9" s="42"/>
      <c r="DBK9" s="42"/>
      <c r="DBL9" s="42"/>
      <c r="DBM9" s="42"/>
      <c r="DBN9" s="42"/>
      <c r="DBO9" s="42"/>
      <c r="DBP9" s="42"/>
      <c r="DBQ9" s="42"/>
      <c r="DBR9" s="42"/>
      <c r="DBS9" s="42"/>
      <c r="DBT9" s="42"/>
      <c r="DBU9" s="42"/>
      <c r="DBV9" s="42"/>
      <c r="DBW9" s="42"/>
      <c r="DBX9" s="42"/>
      <c r="DBY9" s="42"/>
      <c r="DBZ9" s="42"/>
      <c r="DCA9" s="42"/>
      <c r="DCB9" s="42"/>
      <c r="DCC9" s="42"/>
      <c r="DCD9" s="42"/>
      <c r="DCE9" s="42"/>
      <c r="DCF9" s="42"/>
      <c r="DCG9" s="42"/>
      <c r="DCH9" s="42"/>
      <c r="DCI9" s="42"/>
      <c r="DCJ9" s="42"/>
      <c r="DCK9" s="42"/>
      <c r="DCL9" s="42"/>
      <c r="DCM9" s="42"/>
      <c r="DCN9" s="42"/>
      <c r="DCO9" s="42"/>
      <c r="DCP9" s="42"/>
      <c r="DCQ9" s="42"/>
      <c r="DCR9" s="42"/>
      <c r="DCS9" s="42"/>
      <c r="DCT9" s="42"/>
      <c r="DCU9" s="42"/>
      <c r="DCV9" s="42"/>
      <c r="DCW9" s="42"/>
      <c r="DCX9" s="42"/>
      <c r="DCY9" s="42"/>
      <c r="DCZ9" s="42"/>
      <c r="DDA9" s="42"/>
      <c r="DDB9" s="42"/>
      <c r="DDC9" s="42"/>
      <c r="DDD9" s="42"/>
      <c r="DDE9" s="42"/>
      <c r="DDF9" s="42"/>
      <c r="DDG9" s="42"/>
      <c r="DDH9" s="42"/>
      <c r="DDI9" s="42"/>
    </row>
    <row r="10" customFormat="false" ht="13.8" hidden="false" customHeight="false" outlineLevel="0" collapsed="false">
      <c r="A10" s="14" t="s">
        <v>47</v>
      </c>
      <c r="B10" s="14" t="n">
        <v>18</v>
      </c>
      <c r="C10" s="14" t="n">
        <v>176</v>
      </c>
      <c r="D10" s="15" t="n">
        <v>12</v>
      </c>
      <c r="E10" s="14" t="s">
        <v>48</v>
      </c>
      <c r="F10" s="15" t="n">
        <v>198.84</v>
      </c>
      <c r="I10" s="14" t="s">
        <v>49</v>
      </c>
      <c r="J10" s="14" t="s">
        <v>25</v>
      </c>
      <c r="K10" s="16" t="s">
        <v>40</v>
      </c>
      <c r="L10" s="52" t="n">
        <f aca="false">(100*1)/3</f>
        <v>33.3333333333333</v>
      </c>
      <c r="M10" s="26" t="n">
        <f aca="false">L10/3</f>
        <v>11.1111111111111</v>
      </c>
      <c r="N10" s="18" t="s">
        <v>50</v>
      </c>
    </row>
    <row r="11" customFormat="false" ht="13.8" hidden="false" customHeight="false" outlineLevel="0" collapsed="false">
      <c r="A11" s="14" t="s">
        <v>51</v>
      </c>
      <c r="B11" s="14" t="n">
        <v>31</v>
      </c>
      <c r="C11" s="14" t="n">
        <v>162</v>
      </c>
      <c r="D11" s="15" t="n">
        <v>50</v>
      </c>
      <c r="E11" s="14" t="s">
        <v>52</v>
      </c>
      <c r="F11" s="15" t="n">
        <v>542.28</v>
      </c>
      <c r="G11" s="8" t="n">
        <v>34164</v>
      </c>
      <c r="I11" s="14" t="s">
        <v>53</v>
      </c>
      <c r="J11" s="14" t="s">
        <v>25</v>
      </c>
      <c r="K11" s="16" t="s">
        <v>54</v>
      </c>
      <c r="L11" s="52" t="n">
        <f aca="false">(100*1)/2</f>
        <v>50</v>
      </c>
      <c r="M11" s="26" t="n">
        <f aca="false">L11/3</f>
        <v>16.6666666666667</v>
      </c>
      <c r="N11" s="18" t="s">
        <v>55</v>
      </c>
      <c r="O11" s="2" t="n">
        <f aca="false">F11</f>
        <v>542.28</v>
      </c>
      <c r="P11" s="2" t="n">
        <f aca="false">O11/2</f>
        <v>271.14</v>
      </c>
      <c r="Q11" s="2" t="n">
        <v>11388</v>
      </c>
      <c r="R11" s="2" t="n">
        <f aca="false">Q11*3</f>
        <v>34164</v>
      </c>
    </row>
    <row r="12" customFormat="false" ht="13.8" hidden="false" customHeight="false" outlineLevel="0" collapsed="false">
      <c r="A12" s="53" t="s">
        <v>56</v>
      </c>
      <c r="B12" s="53" t="n">
        <v>48</v>
      </c>
      <c r="C12" s="53" t="n">
        <v>49</v>
      </c>
      <c r="D12" s="54" t="n">
        <v>2</v>
      </c>
      <c r="E12" s="53" t="s">
        <v>57</v>
      </c>
      <c r="F12" s="54" t="n">
        <v>0</v>
      </c>
      <c r="I12" s="53" t="s">
        <v>58</v>
      </c>
      <c r="J12" s="53" t="s">
        <v>25</v>
      </c>
      <c r="K12" s="55" t="s">
        <v>59</v>
      </c>
      <c r="L12" s="56" t="n">
        <f aca="false">(100*3)/6</f>
        <v>50</v>
      </c>
      <c r="M12" s="57" t="n">
        <f aca="false">L12/3</f>
        <v>16.6666666666667</v>
      </c>
      <c r="N12" s="58" t="s">
        <v>55</v>
      </c>
    </row>
    <row r="13" customFormat="false" ht="13.8" hidden="false" customHeight="false" outlineLevel="0" collapsed="false">
      <c r="D13" s="3"/>
      <c r="F13" s="3"/>
      <c r="M13" s="3"/>
    </row>
    <row r="14" customFormat="false" ht="13.8" hidden="false" customHeight="false" outlineLevel="0" collapsed="false">
      <c r="D14" s="3"/>
      <c r="F14" s="3"/>
      <c r="M14" s="3"/>
    </row>
    <row r="15" customFormat="false" ht="13.8" hidden="false" customHeight="false" outlineLevel="0" collapsed="false">
      <c r="D15" s="3"/>
      <c r="F15" s="3"/>
      <c r="M15" s="3"/>
    </row>
    <row r="16" customFormat="false" ht="13.8" hidden="false" customHeight="false" outlineLevel="0" collapsed="false">
      <c r="D16" s="3"/>
      <c r="F16" s="3"/>
      <c r="M16" s="3"/>
    </row>
    <row r="17" customFormat="false" ht="13.8" hidden="false" customHeight="false" outlineLevel="0" collapsed="false">
      <c r="A17" s="59" t="s">
        <v>60</v>
      </c>
      <c r="D17" s="3"/>
      <c r="F17" s="3"/>
      <c r="M17" s="3"/>
    </row>
    <row r="18" customFormat="false" ht="13.8" hidden="false" customHeight="false" outlineLevel="0" collapsed="false">
      <c r="A18" s="60" t="s">
        <v>22</v>
      </c>
      <c r="B18" s="60" t="n">
        <v>29</v>
      </c>
      <c r="C18" s="60" t="n">
        <v>554</v>
      </c>
      <c r="D18" s="61" t="n">
        <v>513</v>
      </c>
      <c r="E18" s="60" t="s">
        <v>23</v>
      </c>
      <c r="F18" s="61" t="n">
        <v>216.91</v>
      </c>
      <c r="I18" s="60" t="s">
        <v>61</v>
      </c>
      <c r="J18" s="60" t="s">
        <v>62</v>
      </c>
      <c r="K18" s="62" t="s">
        <v>54</v>
      </c>
      <c r="L18" s="60" t="n">
        <v>50</v>
      </c>
      <c r="M18" s="3"/>
    </row>
    <row r="19" customFormat="false" ht="13.8" hidden="false" customHeight="false" outlineLevel="0" collapsed="false">
      <c r="A19" s="60" t="s">
        <v>22</v>
      </c>
      <c r="B19" s="60"/>
      <c r="C19" s="60"/>
      <c r="D19" s="61"/>
      <c r="E19" s="60"/>
      <c r="F19" s="61"/>
      <c r="I19" s="60"/>
      <c r="J19" s="60" t="s">
        <v>63</v>
      </c>
      <c r="K19" s="62" t="s">
        <v>54</v>
      </c>
      <c r="L19" s="60" t="n">
        <v>50</v>
      </c>
      <c r="M19" s="3"/>
    </row>
    <row r="20" customFormat="false" ht="39.15" hidden="false" customHeight="false" outlineLevel="0" collapsed="false">
      <c r="A20" s="63" t="s">
        <v>22</v>
      </c>
      <c r="B20" s="64" t="n">
        <v>29</v>
      </c>
      <c r="C20" s="64" t="n">
        <v>554</v>
      </c>
      <c r="D20" s="65" t="n">
        <v>504</v>
      </c>
      <c r="E20" s="64" t="s">
        <v>23</v>
      </c>
      <c r="F20" s="64" t="n">
        <v>247.9</v>
      </c>
      <c r="I20" s="66" t="s">
        <v>64</v>
      </c>
      <c r="J20" s="67" t="s">
        <v>45</v>
      </c>
      <c r="K20" s="68" t="s">
        <v>39</v>
      </c>
      <c r="L20" s="63" t="n">
        <v>100</v>
      </c>
      <c r="M20" s="3"/>
    </row>
    <row r="21" customFormat="false" ht="39.15" hidden="false" customHeight="false" outlineLevel="0" collapsed="false">
      <c r="A21" s="69" t="s">
        <v>22</v>
      </c>
      <c r="B21" s="70" t="n">
        <v>29</v>
      </c>
      <c r="C21" s="70" t="n">
        <v>554</v>
      </c>
      <c r="D21" s="71" t="n">
        <v>505</v>
      </c>
      <c r="E21" s="70" t="s">
        <v>23</v>
      </c>
      <c r="F21" s="70" t="n">
        <v>92.06</v>
      </c>
      <c r="I21" s="72" t="s">
        <v>44</v>
      </c>
      <c r="J21" s="73" t="s">
        <v>45</v>
      </c>
      <c r="K21" s="74" t="s">
        <v>39</v>
      </c>
      <c r="L21" s="69" t="n">
        <v>100</v>
      </c>
    </row>
    <row r="23" customFormat="false" ht="13.8" hidden="false" customHeight="false" outlineLevel="0" collapsed="false">
      <c r="A23" s="69" t="s">
        <v>22</v>
      </c>
      <c r="B23" s="70" t="n">
        <v>29</v>
      </c>
      <c r="C23" s="70" t="n">
        <v>554</v>
      </c>
      <c r="D23" s="71" t="n">
        <v>512</v>
      </c>
      <c r="E23" s="70" t="s">
        <v>65</v>
      </c>
      <c r="F23" s="69" t="s">
        <v>65</v>
      </c>
      <c r="I23" s="75" t="s">
        <v>66</v>
      </c>
      <c r="J23" s="69"/>
      <c r="K23" s="69"/>
      <c r="L23" s="69"/>
    </row>
    <row r="24" customFormat="false" ht="13.8" hidden="false" customHeight="false" outlineLevel="0" collapsed="false">
      <c r="D24" s="3"/>
      <c r="F24" s="3"/>
      <c r="K24" s="76"/>
      <c r="M24" s="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Roman,Normale"&amp;12&amp;Kffffff&amp;A</oddHeader>
    <oddFooter>&amp;C&amp;"Times New Roman,Normale"&amp;12&amp;KffffffPagina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24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K9" activeCellId="0" sqref="K9"/>
    </sheetView>
  </sheetViews>
  <sheetFormatPr defaultColWidth="12.8046875" defaultRowHeight="18.55" zeroHeight="false" outlineLevelRow="0" outlineLevelCol="0"/>
  <cols>
    <col collapsed="false" customWidth="true" hidden="false" outlineLevel="0" max="1" min="1" style="77" width="5.81"/>
    <col collapsed="false" customWidth="true" hidden="false" outlineLevel="0" max="2" min="2" style="78" width="14.51"/>
    <col collapsed="false" customWidth="true" hidden="false" outlineLevel="0" max="3" min="3" style="79" width="7.14"/>
    <col collapsed="false" customWidth="true" hidden="false" outlineLevel="0" max="4" min="4" style="79" width="5.64"/>
    <col collapsed="false" customWidth="true" hidden="false" outlineLevel="0" max="5" min="5" style="79" width="10.45"/>
    <col collapsed="false" customWidth="true" hidden="false" outlineLevel="0" max="6" min="6" style="79" width="5.19"/>
    <col collapsed="false" customWidth="true" hidden="false" outlineLevel="0" max="7" min="7" style="79" width="9.55"/>
    <col collapsed="false" customWidth="false" hidden="false" outlineLevel="0" max="8" min="8" style="80" width="12.8"/>
    <col collapsed="false" customWidth="true" hidden="false" outlineLevel="0" max="12" min="9" style="80" width="17.75"/>
    <col collapsed="false" customWidth="true" hidden="false" outlineLevel="0" max="13" min="13" style="78" width="17.75"/>
    <col collapsed="false" customWidth="true" hidden="false" outlineLevel="0" max="14" min="14" style="78" width="22.49"/>
    <col collapsed="false" customWidth="true" hidden="false" outlineLevel="0" max="15" min="15" style="78" width="10.45"/>
    <col collapsed="false" customWidth="true" hidden="false" outlineLevel="0" max="16" min="16" style="78" width="7.44"/>
    <col collapsed="false" customWidth="true" hidden="false" outlineLevel="0" max="17" min="17" style="78" width="14.36"/>
    <col collapsed="false" customWidth="true" hidden="false" outlineLevel="0" max="18" min="18" style="78" width="9.15"/>
    <col collapsed="false" customWidth="false" hidden="false" outlineLevel="0" max="19" min="19" style="79" width="12.8"/>
    <col collapsed="false" customWidth="true" hidden="false" outlineLevel="0" max="20" min="20" style="81" width="18.24"/>
    <col collapsed="false" customWidth="false" hidden="false" outlineLevel="0" max="22" min="21" style="78" width="12.8"/>
    <col collapsed="false" customWidth="true" hidden="false" outlineLevel="0" max="23" min="23" style="2" width="18.24"/>
    <col collapsed="false" customWidth="false" hidden="false" outlineLevel="0" max="16384" min="24" style="78" width="12.8"/>
  </cols>
  <sheetData>
    <row r="1" customFormat="false" ht="77.1" hidden="false" customHeight="false" outlineLevel="0" collapsed="false">
      <c r="A1" s="82" t="s">
        <v>67</v>
      </c>
      <c r="B1" s="9" t="s">
        <v>9</v>
      </c>
      <c r="C1" s="12" t="s">
        <v>10</v>
      </c>
      <c r="D1" s="12" t="s">
        <v>11</v>
      </c>
      <c r="E1" s="12" t="s">
        <v>0</v>
      </c>
      <c r="F1" s="12" t="s">
        <v>12</v>
      </c>
      <c r="G1" s="12" t="s">
        <v>13</v>
      </c>
      <c r="H1" s="83" t="s">
        <v>14</v>
      </c>
      <c r="I1" s="83" t="s">
        <v>68</v>
      </c>
      <c r="J1" s="83" t="s">
        <v>69</v>
      </c>
      <c r="K1" s="83" t="s">
        <v>70</v>
      </c>
      <c r="L1" s="83" t="s">
        <v>71</v>
      </c>
      <c r="M1" s="9" t="s">
        <v>15</v>
      </c>
      <c r="N1" s="9" t="s">
        <v>16</v>
      </c>
      <c r="O1" s="9" t="s">
        <v>17</v>
      </c>
      <c r="P1" s="9" t="s">
        <v>18</v>
      </c>
      <c r="Q1" s="11" t="s">
        <v>19</v>
      </c>
      <c r="R1" s="11" t="s">
        <v>20</v>
      </c>
      <c r="S1" s="84" t="s">
        <v>72</v>
      </c>
      <c r="T1" s="85" t="s">
        <v>73</v>
      </c>
      <c r="U1" s="11" t="s">
        <v>21</v>
      </c>
    </row>
    <row r="2" s="97" customFormat="true" ht="18.55" hidden="false" customHeight="false" outlineLevel="0" collapsed="false">
      <c r="A2" s="86" t="n">
        <v>4</v>
      </c>
      <c r="B2" s="87" t="s">
        <v>22</v>
      </c>
      <c r="C2" s="88" t="n">
        <v>29</v>
      </c>
      <c r="D2" s="88" t="n">
        <v>554</v>
      </c>
      <c r="E2" s="88" t="n">
        <v>503</v>
      </c>
      <c r="F2" s="88" t="s">
        <v>23</v>
      </c>
      <c r="G2" s="88" t="n">
        <v>216.91</v>
      </c>
      <c r="H2" s="89" t="n">
        <v>6840</v>
      </c>
      <c r="I2" s="89" t="n">
        <v>1.05</v>
      </c>
      <c r="J2" s="90" t="n">
        <v>160</v>
      </c>
      <c r="K2" s="91" t="n">
        <f aca="false">(G2*I2)*160</f>
        <v>36440.88</v>
      </c>
      <c r="L2" s="89" t="n">
        <f aca="false">(K2*P2)/100</f>
        <v>9110.22</v>
      </c>
      <c r="M2" s="28" t="s">
        <v>24</v>
      </c>
      <c r="N2" s="28" t="s">
        <v>25</v>
      </c>
      <c r="O2" s="92" t="s">
        <v>26</v>
      </c>
      <c r="P2" s="28" t="n">
        <f aca="false">(100*2)/8</f>
        <v>25</v>
      </c>
      <c r="Q2" s="93" t="n">
        <f aca="false">P2/3</f>
        <v>8.33333333333333</v>
      </c>
      <c r="R2" s="28" t="s">
        <v>27</v>
      </c>
      <c r="S2" s="94" t="n">
        <f aca="false">L2</f>
        <v>9110.22</v>
      </c>
      <c r="T2" s="95" t="n">
        <f aca="false">(K2*Q2)/100</f>
        <v>3036.74</v>
      </c>
      <c r="U2" s="96"/>
      <c r="W2" s="2"/>
    </row>
    <row r="3" s="97" customFormat="true" ht="77.1" hidden="false" customHeight="false" outlineLevel="0" collapsed="false">
      <c r="A3" s="86" t="n">
        <v>11</v>
      </c>
      <c r="B3" s="87" t="s">
        <v>22</v>
      </c>
      <c r="C3" s="98" t="n">
        <v>29</v>
      </c>
      <c r="D3" s="98" t="n">
        <v>544</v>
      </c>
      <c r="E3" s="98" t="n">
        <v>10</v>
      </c>
      <c r="F3" s="98" t="s">
        <v>28</v>
      </c>
      <c r="G3" s="98" t="n">
        <v>100</v>
      </c>
      <c r="H3" s="89" t="n">
        <v>100</v>
      </c>
      <c r="I3" s="89" t="n">
        <v>1.05</v>
      </c>
      <c r="J3" s="90" t="n">
        <v>160</v>
      </c>
      <c r="K3" s="99" t="n">
        <f aca="false">H3</f>
        <v>100</v>
      </c>
      <c r="L3" s="89" t="n">
        <f aca="false">(K3*P3)/100</f>
        <v>25</v>
      </c>
      <c r="M3" s="100" t="s">
        <v>74</v>
      </c>
      <c r="N3" s="20" t="s">
        <v>25</v>
      </c>
      <c r="O3" s="101" t="s">
        <v>31</v>
      </c>
      <c r="P3" s="20" t="n">
        <f aca="false">(100*2)/8</f>
        <v>25</v>
      </c>
      <c r="Q3" s="24" t="n">
        <f aca="false">P3/3</f>
        <v>8.33333333333333</v>
      </c>
      <c r="R3" s="20" t="s">
        <v>27</v>
      </c>
      <c r="S3" s="94" t="n">
        <f aca="false">L3</f>
        <v>25</v>
      </c>
      <c r="T3" s="95" t="n">
        <f aca="false">(K3*Q3)/100</f>
        <v>8.33333333333333</v>
      </c>
      <c r="U3" s="97" t="s">
        <v>32</v>
      </c>
      <c r="W3" s="3"/>
    </row>
    <row r="4" s="97" customFormat="true" ht="18.55" hidden="false" customHeight="false" outlineLevel="0" collapsed="false">
      <c r="A4" s="86" t="n">
        <v>5</v>
      </c>
      <c r="B4" s="87" t="s">
        <v>22</v>
      </c>
      <c r="C4" s="88" t="n">
        <v>29</v>
      </c>
      <c r="D4" s="88" t="n">
        <v>554</v>
      </c>
      <c r="E4" s="88" t="n">
        <v>509</v>
      </c>
      <c r="F4" s="88" t="s">
        <v>33</v>
      </c>
      <c r="G4" s="88" t="n">
        <v>34.09</v>
      </c>
      <c r="H4" s="89" t="n">
        <v>1074</v>
      </c>
      <c r="I4" s="89" t="n">
        <v>1.05</v>
      </c>
      <c r="J4" s="90" t="n">
        <v>160</v>
      </c>
      <c r="K4" s="91" t="n">
        <f aca="false">(G4*I4)*160</f>
        <v>5727.12</v>
      </c>
      <c r="L4" s="89" t="n">
        <f aca="false">(K4*P4)/100</f>
        <v>1431.78</v>
      </c>
      <c r="M4" s="28" t="s">
        <v>34</v>
      </c>
      <c r="N4" s="28" t="s">
        <v>25</v>
      </c>
      <c r="O4" s="92" t="s">
        <v>35</v>
      </c>
      <c r="P4" s="28" t="n">
        <f aca="false">(100*4)/16</f>
        <v>25</v>
      </c>
      <c r="Q4" s="31" t="n">
        <f aca="false">P4/3</f>
        <v>8.33333333333333</v>
      </c>
      <c r="R4" s="28" t="s">
        <v>27</v>
      </c>
      <c r="S4" s="94" t="n">
        <f aca="false">L4</f>
        <v>1431.78</v>
      </c>
      <c r="T4" s="95" t="n">
        <f aca="false">(K4*Q4)/100</f>
        <v>477.26</v>
      </c>
      <c r="W4" s="2"/>
    </row>
    <row r="5" customFormat="false" ht="39.15" hidden="false" customHeight="false" outlineLevel="0" collapsed="false">
      <c r="A5" s="86" t="n">
        <v>6</v>
      </c>
      <c r="B5" s="28" t="s">
        <v>22</v>
      </c>
      <c r="C5" s="88" t="n">
        <v>29</v>
      </c>
      <c r="D5" s="88" t="n">
        <v>554</v>
      </c>
      <c r="E5" s="102" t="n">
        <v>517</v>
      </c>
      <c r="F5" s="88" t="s">
        <v>36</v>
      </c>
      <c r="G5" s="88" t="n">
        <v>0</v>
      </c>
      <c r="H5" s="89" t="n">
        <v>465</v>
      </c>
      <c r="I5" s="89" t="n">
        <v>1.05</v>
      </c>
      <c r="J5" s="90" t="n">
        <v>160</v>
      </c>
      <c r="K5" s="103" t="n">
        <v>465</v>
      </c>
      <c r="L5" s="89" t="n">
        <f aca="false">(K5*P5)/100</f>
        <v>116.25</v>
      </c>
      <c r="M5" s="104" t="s">
        <v>37</v>
      </c>
      <c r="N5" s="28" t="s">
        <v>25</v>
      </c>
      <c r="O5" s="92" t="s">
        <v>26</v>
      </c>
      <c r="P5" s="28" t="n">
        <f aca="false">(100*2)/8</f>
        <v>25</v>
      </c>
      <c r="Q5" s="31" t="n">
        <f aca="false">P5/3</f>
        <v>8.33333333333333</v>
      </c>
      <c r="R5" s="28" t="s">
        <v>27</v>
      </c>
      <c r="S5" s="94" t="n">
        <f aca="false">L5</f>
        <v>116.25</v>
      </c>
      <c r="T5" s="95" t="n">
        <f aca="false">(K5*Q5)/100</f>
        <v>38.75</v>
      </c>
    </row>
    <row r="6" s="97" customFormat="true" ht="26.5" hidden="false" customHeight="false" outlineLevel="0" collapsed="false">
      <c r="A6" s="86" t="n">
        <v>9</v>
      </c>
      <c r="B6" s="28" t="s">
        <v>22</v>
      </c>
      <c r="C6" s="88" t="n">
        <v>29</v>
      </c>
      <c r="D6" s="88" t="n">
        <v>554</v>
      </c>
      <c r="E6" s="88" t="n">
        <v>515</v>
      </c>
      <c r="F6" s="88" t="s">
        <v>23</v>
      </c>
      <c r="G6" s="88" t="n">
        <v>92.96</v>
      </c>
      <c r="H6" s="89" t="n">
        <v>11718</v>
      </c>
      <c r="I6" s="89" t="n">
        <v>1.05</v>
      </c>
      <c r="J6" s="90" t="n">
        <v>160</v>
      </c>
      <c r="K6" s="91" t="n">
        <f aca="false">(G6*I6)*160</f>
        <v>15617.28</v>
      </c>
      <c r="L6" s="89" t="n">
        <f aca="false">(K6*P6)/100</f>
        <v>15617.28</v>
      </c>
      <c r="M6" s="104" t="s">
        <v>38</v>
      </c>
      <c r="N6" s="28" t="s">
        <v>25</v>
      </c>
      <c r="O6" s="92" t="s">
        <v>39</v>
      </c>
      <c r="P6" s="28" t="n">
        <f aca="false">(100*1)/1</f>
        <v>100</v>
      </c>
      <c r="Q6" s="31" t="n">
        <f aca="false">P6/3</f>
        <v>33.3333333333333</v>
      </c>
      <c r="R6" s="28" t="s">
        <v>40</v>
      </c>
      <c r="S6" s="94" t="n">
        <f aca="false">L6</f>
        <v>15617.28</v>
      </c>
      <c r="T6" s="95" t="n">
        <f aca="false">(K6*Q6)/100</f>
        <v>5205.76</v>
      </c>
      <c r="W6" s="3"/>
    </row>
    <row r="7" s="97" customFormat="true" ht="26.5" hidden="false" customHeight="false" outlineLevel="0" collapsed="false">
      <c r="A7" s="86" t="n">
        <v>8</v>
      </c>
      <c r="B7" s="28" t="s">
        <v>22</v>
      </c>
      <c r="C7" s="88" t="n">
        <v>29</v>
      </c>
      <c r="D7" s="88" t="n">
        <v>554</v>
      </c>
      <c r="E7" s="88" t="n">
        <v>510</v>
      </c>
      <c r="F7" s="88" t="s">
        <v>41</v>
      </c>
      <c r="G7" s="88" t="n">
        <v>35.12</v>
      </c>
      <c r="H7" s="94" t="n">
        <v>1110</v>
      </c>
      <c r="I7" s="89" t="n">
        <v>1.05</v>
      </c>
      <c r="J7" s="90" t="n">
        <v>160</v>
      </c>
      <c r="K7" s="91" t="n">
        <f aca="false">(G7*I7)*160</f>
        <v>5900.16</v>
      </c>
      <c r="L7" s="89" t="n">
        <f aca="false">(K7*P7)/100</f>
        <v>1475.04</v>
      </c>
      <c r="M7" s="104" t="s">
        <v>42</v>
      </c>
      <c r="N7" s="28" t="s">
        <v>25</v>
      </c>
      <c r="O7" s="92" t="s">
        <v>35</v>
      </c>
      <c r="P7" s="28" t="n">
        <f aca="false">(100*4)/16</f>
        <v>25</v>
      </c>
      <c r="Q7" s="31" t="n">
        <f aca="false">P7/3</f>
        <v>8.33333333333333</v>
      </c>
      <c r="R7" s="28" t="s">
        <v>27</v>
      </c>
      <c r="S7" s="94" t="n">
        <f aca="false">L7</f>
        <v>1475.04</v>
      </c>
      <c r="T7" s="95" t="n">
        <f aca="false">(K7*Q7)/100</f>
        <v>491.68</v>
      </c>
      <c r="W7" s="3"/>
    </row>
    <row r="8" s="97" customFormat="true" ht="26.5" hidden="false" customHeight="false" outlineLevel="0" collapsed="false">
      <c r="A8" s="86" t="n">
        <v>3</v>
      </c>
      <c r="B8" s="28" t="s">
        <v>22</v>
      </c>
      <c r="C8" s="105" t="n">
        <v>29</v>
      </c>
      <c r="D8" s="105" t="n">
        <v>554</v>
      </c>
      <c r="E8" s="105" t="n">
        <v>518</v>
      </c>
      <c r="F8" s="105" t="s">
        <v>41</v>
      </c>
      <c r="G8" s="105" t="n">
        <v>84.29</v>
      </c>
      <c r="H8" s="89" t="n">
        <v>2661</v>
      </c>
      <c r="I8" s="89" t="n">
        <v>1.05</v>
      </c>
      <c r="J8" s="90" t="n">
        <v>160</v>
      </c>
      <c r="K8" s="91" t="n">
        <f aca="false">(G8*I8)*160</f>
        <v>14160.72</v>
      </c>
      <c r="L8" s="89" t="n">
        <f aca="false">(K8*P8)/100</f>
        <v>3540.18</v>
      </c>
      <c r="M8" s="35" t="s">
        <v>43</v>
      </c>
      <c r="N8" s="106" t="s">
        <v>25</v>
      </c>
      <c r="O8" s="107" t="s">
        <v>26</v>
      </c>
      <c r="P8" s="106" t="n">
        <f aca="false">(100*2)/8</f>
        <v>25</v>
      </c>
      <c r="Q8" s="38" t="n">
        <f aca="false">P8/3</f>
        <v>8.33333333333333</v>
      </c>
      <c r="R8" s="106" t="s">
        <v>27</v>
      </c>
      <c r="S8" s="94" t="n">
        <f aca="false">L8</f>
        <v>3540.18</v>
      </c>
      <c r="T8" s="95" t="n">
        <f aca="false">(K8*Q8)/100</f>
        <v>1180.06</v>
      </c>
      <c r="U8" s="42"/>
      <c r="W8" s="2"/>
    </row>
    <row r="9" s="97" customFormat="true" ht="39.15" hidden="false" customHeight="false" outlineLevel="0" collapsed="false">
      <c r="A9" s="86" t="n">
        <v>10</v>
      </c>
      <c r="B9" s="108" t="s">
        <v>22</v>
      </c>
      <c r="C9" s="109" t="n">
        <v>29</v>
      </c>
      <c r="D9" s="109" t="n">
        <v>554</v>
      </c>
      <c r="E9" s="109" t="n">
        <v>514</v>
      </c>
      <c r="F9" s="109" t="s">
        <v>23</v>
      </c>
      <c r="G9" s="109" t="n">
        <v>216.91</v>
      </c>
      <c r="H9" s="89" t="n">
        <v>27333</v>
      </c>
      <c r="I9" s="89" t="n">
        <v>1.05</v>
      </c>
      <c r="J9" s="90" t="n">
        <v>160</v>
      </c>
      <c r="K9" s="91" t="n">
        <f aca="false">(G9*I9)*160</f>
        <v>36440.88</v>
      </c>
      <c r="L9" s="89" t="n">
        <f aca="false">(K9*P9)/100</f>
        <v>36440.88</v>
      </c>
      <c r="M9" s="49" t="s">
        <v>46</v>
      </c>
      <c r="N9" s="108" t="s">
        <v>25</v>
      </c>
      <c r="O9" s="110" t="s">
        <v>39</v>
      </c>
      <c r="P9" s="108" t="n">
        <f aca="false">(100*1)/1</f>
        <v>100</v>
      </c>
      <c r="Q9" s="51" t="n">
        <f aca="false">P9/3</f>
        <v>33.3333333333333</v>
      </c>
      <c r="R9" s="108" t="s">
        <v>40</v>
      </c>
      <c r="S9" s="94" t="n">
        <f aca="false">L9</f>
        <v>36440.88</v>
      </c>
      <c r="T9" s="95" t="n">
        <f aca="false">(K9*Q9)/100</f>
        <v>12146.96</v>
      </c>
      <c r="U9" s="42"/>
      <c r="W9" s="3"/>
    </row>
    <row r="10" s="97" customFormat="true" ht="18.55" hidden="false" customHeight="false" outlineLevel="0" collapsed="false">
      <c r="A10" s="86" t="n">
        <v>7</v>
      </c>
      <c r="B10" s="28" t="s">
        <v>75</v>
      </c>
      <c r="C10" s="88" t="n">
        <v>18</v>
      </c>
      <c r="D10" s="88" t="n">
        <v>176</v>
      </c>
      <c r="E10" s="88" t="n">
        <v>12</v>
      </c>
      <c r="F10" s="88" t="s">
        <v>48</v>
      </c>
      <c r="G10" s="88" t="n">
        <v>198.84</v>
      </c>
      <c r="H10" s="89" t="n">
        <v>8352</v>
      </c>
      <c r="I10" s="89" t="n">
        <v>1.05</v>
      </c>
      <c r="J10" s="90" t="n">
        <v>160</v>
      </c>
      <c r="K10" s="91" t="n">
        <f aca="false">(G10*I10)*160</f>
        <v>33405.12</v>
      </c>
      <c r="L10" s="89" t="n">
        <f aca="false">(K10*P10)/100</f>
        <v>11135.04</v>
      </c>
      <c r="M10" s="28" t="s">
        <v>49</v>
      </c>
      <c r="N10" s="28" t="s">
        <v>25</v>
      </c>
      <c r="O10" s="92" t="s">
        <v>40</v>
      </c>
      <c r="P10" s="111" t="n">
        <f aca="false">(100*1)/3</f>
        <v>33.3333333333333</v>
      </c>
      <c r="Q10" s="31" t="n">
        <f aca="false">P10/3</f>
        <v>11.1111111111111</v>
      </c>
      <c r="R10" s="28" t="s">
        <v>50</v>
      </c>
      <c r="S10" s="94" t="n">
        <f aca="false">L10</f>
        <v>11135.04</v>
      </c>
      <c r="T10" s="95" t="n">
        <f aca="false">(K10*Q10)/100</f>
        <v>3711.68</v>
      </c>
      <c r="W10" s="2"/>
    </row>
    <row r="11" s="97" customFormat="true" ht="18.55" hidden="false" customHeight="false" outlineLevel="0" collapsed="false">
      <c r="A11" s="86" t="n">
        <v>1</v>
      </c>
      <c r="B11" s="28" t="s">
        <v>51</v>
      </c>
      <c r="C11" s="88" t="n">
        <v>31</v>
      </c>
      <c r="D11" s="88" t="n">
        <v>162</v>
      </c>
      <c r="E11" s="88" t="n">
        <v>50</v>
      </c>
      <c r="F11" s="88" t="s">
        <v>52</v>
      </c>
      <c r="G11" s="88" t="n">
        <v>542.28</v>
      </c>
      <c r="H11" s="89" t="n">
        <v>34164</v>
      </c>
      <c r="I11" s="89" t="n">
        <v>1.05</v>
      </c>
      <c r="J11" s="90" t="n">
        <v>160</v>
      </c>
      <c r="K11" s="91" t="n">
        <f aca="false">(G11*I11)*160</f>
        <v>91103.04</v>
      </c>
      <c r="L11" s="89" t="n">
        <f aca="false">(K11*P11)/100</f>
        <v>45551.52</v>
      </c>
      <c r="M11" s="28" t="s">
        <v>53</v>
      </c>
      <c r="N11" s="28" t="s">
        <v>25</v>
      </c>
      <c r="O11" s="92" t="s">
        <v>54</v>
      </c>
      <c r="P11" s="111" t="n">
        <f aca="false">(100*1)/2</f>
        <v>50</v>
      </c>
      <c r="Q11" s="31" t="n">
        <f aca="false">P11/3</f>
        <v>16.6666666666667</v>
      </c>
      <c r="R11" s="28" t="s">
        <v>55</v>
      </c>
      <c r="S11" s="94" t="n">
        <f aca="false">L11</f>
        <v>45551.52</v>
      </c>
      <c r="T11" s="95" t="n">
        <f aca="false">(K11*Q11)/100</f>
        <v>15183.84</v>
      </c>
      <c r="W11" s="2"/>
    </row>
    <row r="12" s="97" customFormat="true" ht="18.55" hidden="false" customHeight="false" outlineLevel="0" collapsed="false">
      <c r="A12" s="86" t="n">
        <v>2</v>
      </c>
      <c r="B12" s="112" t="s">
        <v>56</v>
      </c>
      <c r="C12" s="113" t="n">
        <v>48</v>
      </c>
      <c r="D12" s="113" t="n">
        <v>49</v>
      </c>
      <c r="E12" s="113" t="n">
        <v>2</v>
      </c>
      <c r="F12" s="113" t="s">
        <v>57</v>
      </c>
      <c r="G12" s="113" t="n">
        <v>0</v>
      </c>
      <c r="H12" s="114" t="n">
        <v>3000</v>
      </c>
      <c r="I12" s="114" t="n">
        <v>1.05</v>
      </c>
      <c r="J12" s="115" t="n">
        <v>160</v>
      </c>
      <c r="K12" s="116" t="n">
        <v>3000</v>
      </c>
      <c r="L12" s="114" t="n">
        <f aca="false">K12</f>
        <v>3000</v>
      </c>
      <c r="M12" s="112" t="s">
        <v>58</v>
      </c>
      <c r="N12" s="112" t="s">
        <v>25</v>
      </c>
      <c r="O12" s="117" t="s">
        <v>59</v>
      </c>
      <c r="P12" s="118" t="n">
        <f aca="false">(100*3)/6</f>
        <v>50</v>
      </c>
      <c r="Q12" s="119" t="n">
        <f aca="false">P12/3</f>
        <v>16.6666666666667</v>
      </c>
      <c r="R12" s="112" t="s">
        <v>55</v>
      </c>
      <c r="S12" s="94" t="n">
        <f aca="false">L12</f>
        <v>3000</v>
      </c>
      <c r="T12" s="95" t="n">
        <f aca="false">(K12*Q12)/100</f>
        <v>500.000000000001</v>
      </c>
      <c r="W12" s="2"/>
    </row>
    <row r="13" customFormat="false" ht="18.55" hidden="false" customHeight="false" outlineLevel="0" collapsed="false">
      <c r="E13" s="120"/>
      <c r="G13" s="120"/>
      <c r="H13" s="89" t="n">
        <f aca="false">SUM(H2:H12)</f>
        <v>96817</v>
      </c>
      <c r="K13" s="89" t="n">
        <f aca="false">SUM(K2:K12)</f>
        <v>242360.2</v>
      </c>
      <c r="L13" s="89" t="n">
        <f aca="false">SUM(L2:L12)</f>
        <v>127443.19</v>
      </c>
      <c r="Q13" s="97"/>
      <c r="S13" s="89" t="n">
        <f aca="false">SUM(S2:S12)</f>
        <v>127443.19</v>
      </c>
      <c r="T13" s="121" t="n">
        <f aca="false">SUM(T2:T12)</f>
        <v>41981.0633333333</v>
      </c>
    </row>
    <row r="14" customFormat="false" ht="18.55" hidden="false" customHeight="false" outlineLevel="0" collapsed="false">
      <c r="E14" s="120"/>
      <c r="G14" s="120"/>
      <c r="Q14" s="97"/>
    </row>
    <row r="15" customFormat="false" ht="18.55" hidden="false" customHeight="false" outlineLevel="0" collapsed="false">
      <c r="E15" s="120"/>
      <c r="G15" s="120"/>
      <c r="Q15" s="97"/>
      <c r="R15" s="122"/>
      <c r="S15" s="123"/>
      <c r="T15" s="124"/>
    </row>
    <row r="16" customFormat="false" ht="18.55" hidden="false" customHeight="false" outlineLevel="0" collapsed="false">
      <c r="E16" s="120"/>
      <c r="G16" s="120"/>
      <c r="Q16" s="97"/>
      <c r="R16" s="122"/>
    </row>
    <row r="17" customFormat="false" ht="18.55" hidden="false" customHeight="false" outlineLevel="0" collapsed="false">
      <c r="B17" s="125" t="s">
        <v>60</v>
      </c>
      <c r="E17" s="120"/>
      <c r="G17" s="120"/>
      <c r="Q17" s="97"/>
    </row>
    <row r="18" customFormat="false" ht="18.55" hidden="false" customHeight="false" outlineLevel="0" collapsed="false">
      <c r="B18" s="63" t="s">
        <v>22</v>
      </c>
      <c r="C18" s="126" t="n">
        <v>29</v>
      </c>
      <c r="D18" s="126" t="n">
        <v>554</v>
      </c>
      <c r="E18" s="127" t="n">
        <v>513</v>
      </c>
      <c r="F18" s="126" t="s">
        <v>23</v>
      </c>
      <c r="G18" s="127" t="n">
        <v>216.91</v>
      </c>
      <c r="M18" s="63" t="s">
        <v>61</v>
      </c>
      <c r="N18" s="63" t="s">
        <v>62</v>
      </c>
      <c r="O18" s="68" t="s">
        <v>54</v>
      </c>
      <c r="P18" s="63" t="n">
        <v>50</v>
      </c>
      <c r="Q18" s="97"/>
    </row>
    <row r="19" customFormat="false" ht="18.55" hidden="false" customHeight="false" outlineLevel="0" collapsed="false">
      <c r="B19" s="63" t="s">
        <v>22</v>
      </c>
      <c r="C19" s="126"/>
      <c r="D19" s="126"/>
      <c r="E19" s="127"/>
      <c r="F19" s="126"/>
      <c r="G19" s="127"/>
      <c r="M19" s="63"/>
      <c r="N19" s="63" t="s">
        <v>63</v>
      </c>
      <c r="O19" s="68" t="s">
        <v>54</v>
      </c>
      <c r="P19" s="63" t="n">
        <v>50</v>
      </c>
      <c r="Q19" s="97"/>
    </row>
    <row r="20" customFormat="false" ht="39.15" hidden="false" customHeight="false" outlineLevel="0" collapsed="false">
      <c r="B20" s="63" t="s">
        <v>22</v>
      </c>
      <c r="C20" s="128" t="n">
        <v>29</v>
      </c>
      <c r="D20" s="128" t="n">
        <v>554</v>
      </c>
      <c r="E20" s="127" t="n">
        <v>504</v>
      </c>
      <c r="F20" s="128" t="s">
        <v>23</v>
      </c>
      <c r="G20" s="128" t="n">
        <v>247.9</v>
      </c>
      <c r="M20" s="66" t="s">
        <v>64</v>
      </c>
      <c r="N20" s="67" t="s">
        <v>45</v>
      </c>
      <c r="O20" s="68" t="s">
        <v>39</v>
      </c>
      <c r="P20" s="63" t="n">
        <v>100</v>
      </c>
      <c r="Q20" s="97"/>
    </row>
    <row r="21" customFormat="false" ht="39.15" hidden="false" customHeight="false" outlineLevel="0" collapsed="false">
      <c r="B21" s="69" t="s">
        <v>22</v>
      </c>
      <c r="C21" s="129" t="n">
        <v>29</v>
      </c>
      <c r="D21" s="129" t="n">
        <v>554</v>
      </c>
      <c r="E21" s="130" t="n">
        <v>505</v>
      </c>
      <c r="F21" s="129" t="s">
        <v>23</v>
      </c>
      <c r="G21" s="129" t="n">
        <v>92.06</v>
      </c>
      <c r="M21" s="72" t="s">
        <v>44</v>
      </c>
      <c r="N21" s="73" t="s">
        <v>45</v>
      </c>
      <c r="O21" s="74" t="s">
        <v>39</v>
      </c>
      <c r="P21" s="69" t="n">
        <v>100</v>
      </c>
    </row>
    <row r="23" customFormat="false" ht="18.55" hidden="false" customHeight="false" outlineLevel="0" collapsed="false">
      <c r="B23" s="69" t="s">
        <v>22</v>
      </c>
      <c r="C23" s="129" t="n">
        <v>29</v>
      </c>
      <c r="D23" s="129" t="n">
        <v>554</v>
      </c>
      <c r="E23" s="130" t="n">
        <v>512</v>
      </c>
      <c r="F23" s="129" t="s">
        <v>65</v>
      </c>
      <c r="G23" s="131" t="s">
        <v>65</v>
      </c>
      <c r="M23" s="75" t="s">
        <v>66</v>
      </c>
      <c r="N23" s="69"/>
      <c r="O23" s="69"/>
      <c r="P23" s="69"/>
    </row>
    <row r="24" customFormat="false" ht="18.55" hidden="false" customHeight="false" outlineLevel="0" collapsed="false">
      <c r="E24" s="120"/>
      <c r="G24" s="120"/>
      <c r="O24" s="41"/>
      <c r="Q24" s="97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Roman,Normale"&amp;12&amp;Kffffff&amp;A</oddHeader>
    <oddFooter>&amp;C&amp;"Times New Roman,Normale"&amp;12&amp;KffffffPagina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556</TotalTime>
  <Application>LibreOffice/24.2.3.2$Windows_X86_64 LibreOffice_project/433d9c2ded56988e8a90e6b2e771ee4e6a5ab2ba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2025-01-06T10:32:22Z</dcterms:created>
  <dc:creator>Luigina Arciero</dc:creator>
  <dc:description/>
  <dc:language>it-IT</dc:language>
  <cp:lastModifiedBy/>
  <dcterms:modified xsi:type="dcterms:W3CDTF">2025-02-08T20:45:54Z</dcterms:modified>
  <cp:revision>62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